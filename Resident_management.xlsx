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1395dc258ccc374/Desktop/"/>
    </mc:Choice>
  </mc:AlternateContent>
  <xr:revisionPtr revIDLastSave="1" documentId="8_{39792900-EA1A-4369-BAAA-F124326542F7}" xr6:coauthVersionLast="47" xr6:coauthVersionMax="47" xr10:uidLastSave="{A1EB30C1-68C5-423D-94B7-F4996755C8C2}"/>
  <bookViews>
    <workbookView xWindow="-108" yWindow="-108" windowWidth="23256" windowHeight="12456" firstSheet="3" activeTab="7" xr2:uid="{00000000-000D-0000-FFFF-FFFF00000000}"/>
  </bookViews>
  <sheets>
    <sheet name="Raw Data" sheetId="1" r:id="rId1"/>
    <sheet name="Cleaned Data" sheetId="2" r:id="rId2"/>
    <sheet name="Audit Report" sheetId="3" r:id="rId3"/>
    <sheet name="Formula Assessment" sheetId="7" r:id="rId4"/>
    <sheet name="Analysis Answers " sheetId="9" r:id="rId5"/>
    <sheet name="Pivot Tables" sheetId="11" r:id="rId6"/>
    <sheet name="Dashboard" sheetId="12" r:id="rId7"/>
    <sheet name="Insights" sheetId="13" r:id="rId8"/>
  </sheets>
  <definedNames>
    <definedName name="Slicer_Booking_Source">#N/A</definedName>
    <definedName name="Slicer_Cit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9" l="1"/>
  <c r="P17" i="2"/>
  <c r="C16" i="9"/>
  <c r="C15" i="9"/>
  <c r="C11" i="9"/>
  <c r="C9" i="9"/>
  <c r="C8" i="9"/>
  <c r="C7" i="9"/>
  <c r="U4" i="3"/>
  <c r="U3"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P201" i="3"/>
  <c r="O201" i="3"/>
  <c r="N201" i="3"/>
  <c r="M201" i="3"/>
  <c r="P200" i="3"/>
  <c r="O200" i="3"/>
  <c r="N200" i="3"/>
  <c r="M200" i="3"/>
  <c r="P199" i="3"/>
  <c r="O199" i="3"/>
  <c r="N199" i="3"/>
  <c r="M199" i="3"/>
  <c r="P198" i="3"/>
  <c r="O198" i="3"/>
  <c r="N198" i="3"/>
  <c r="M198" i="3"/>
  <c r="P197" i="3"/>
  <c r="O197" i="3"/>
  <c r="N197" i="3"/>
  <c r="M197" i="3"/>
  <c r="P196" i="3"/>
  <c r="O196" i="3"/>
  <c r="N196" i="3"/>
  <c r="M196" i="3"/>
  <c r="P195" i="3"/>
  <c r="O195" i="3"/>
  <c r="N195" i="3"/>
  <c r="M195" i="3"/>
  <c r="P194" i="3"/>
  <c r="O194" i="3"/>
  <c r="N194" i="3"/>
  <c r="M194" i="3"/>
  <c r="P193" i="3"/>
  <c r="O193" i="3"/>
  <c r="N193" i="3"/>
  <c r="M193" i="3"/>
  <c r="P192" i="3"/>
  <c r="O192" i="3"/>
  <c r="N192" i="3"/>
  <c r="M192" i="3"/>
  <c r="P191" i="3"/>
  <c r="O191" i="3"/>
  <c r="N191" i="3"/>
  <c r="M191" i="3"/>
  <c r="P190" i="3"/>
  <c r="O190" i="3"/>
  <c r="N190" i="3"/>
  <c r="M190" i="3"/>
  <c r="P189" i="3"/>
  <c r="O189" i="3"/>
  <c r="N189" i="3"/>
  <c r="M189" i="3"/>
  <c r="P188" i="3"/>
  <c r="O188" i="3"/>
  <c r="N188" i="3"/>
  <c r="M188" i="3"/>
  <c r="P187" i="3"/>
  <c r="O187" i="3"/>
  <c r="N187" i="3"/>
  <c r="M187" i="3"/>
  <c r="P186" i="3"/>
  <c r="O186" i="3"/>
  <c r="N186" i="3"/>
  <c r="M186" i="3"/>
  <c r="P185" i="3"/>
  <c r="O185" i="3"/>
  <c r="N185" i="3"/>
  <c r="M185" i="3"/>
  <c r="P184" i="3"/>
  <c r="O184" i="3"/>
  <c r="N184" i="3"/>
  <c r="M184" i="3"/>
  <c r="P183" i="3"/>
  <c r="O183" i="3"/>
  <c r="N183" i="3"/>
  <c r="M183" i="3"/>
  <c r="P182" i="3"/>
  <c r="O182" i="3"/>
  <c r="N182" i="3"/>
  <c r="M182" i="3"/>
  <c r="P181" i="3"/>
  <c r="O181" i="3"/>
  <c r="N181" i="3"/>
  <c r="M181" i="3"/>
  <c r="P180" i="3"/>
  <c r="O180" i="3"/>
  <c r="N180" i="3"/>
  <c r="M180" i="3"/>
  <c r="P179" i="3"/>
  <c r="O179" i="3"/>
  <c r="N179" i="3"/>
  <c r="M179" i="3"/>
  <c r="P178" i="3"/>
  <c r="O178" i="3"/>
  <c r="N178" i="3"/>
  <c r="M178" i="3"/>
  <c r="P177" i="3"/>
  <c r="O177" i="3"/>
  <c r="N177" i="3"/>
  <c r="M177" i="3"/>
  <c r="P176" i="3"/>
  <c r="O176" i="3"/>
  <c r="N176" i="3"/>
  <c r="M176" i="3"/>
  <c r="P175" i="3"/>
  <c r="O175" i="3"/>
  <c r="N175" i="3"/>
  <c r="M175" i="3"/>
  <c r="P174" i="3"/>
  <c r="O174" i="3"/>
  <c r="N174" i="3"/>
  <c r="M174" i="3"/>
  <c r="P173" i="3"/>
  <c r="O173" i="3"/>
  <c r="N173" i="3"/>
  <c r="M173" i="3"/>
  <c r="P172" i="3"/>
  <c r="O172" i="3"/>
  <c r="N172" i="3"/>
  <c r="M172" i="3"/>
  <c r="P171" i="3"/>
  <c r="O171" i="3"/>
  <c r="N171" i="3"/>
  <c r="M171" i="3"/>
  <c r="P170" i="3"/>
  <c r="O170" i="3"/>
  <c r="N170" i="3"/>
  <c r="M170" i="3"/>
  <c r="P169" i="3"/>
  <c r="O169" i="3"/>
  <c r="N169" i="3"/>
  <c r="M169" i="3"/>
  <c r="P168" i="3"/>
  <c r="O168" i="3"/>
  <c r="N168" i="3"/>
  <c r="M168" i="3"/>
  <c r="P167" i="3"/>
  <c r="O167" i="3"/>
  <c r="N167" i="3"/>
  <c r="M167" i="3"/>
  <c r="P166" i="3"/>
  <c r="O166" i="3"/>
  <c r="N166" i="3"/>
  <c r="M166" i="3"/>
  <c r="P165" i="3"/>
  <c r="O165" i="3"/>
  <c r="N165" i="3"/>
  <c r="M165" i="3"/>
  <c r="P164" i="3"/>
  <c r="O164" i="3"/>
  <c r="N164" i="3"/>
  <c r="M164" i="3"/>
  <c r="P163" i="3"/>
  <c r="O163" i="3"/>
  <c r="N163" i="3"/>
  <c r="M163" i="3"/>
  <c r="P162" i="3"/>
  <c r="O162" i="3"/>
  <c r="N162" i="3"/>
  <c r="M162" i="3"/>
  <c r="P161" i="3"/>
  <c r="O161" i="3"/>
  <c r="N161" i="3"/>
  <c r="M161" i="3"/>
  <c r="P160" i="3"/>
  <c r="O160" i="3"/>
  <c r="N160" i="3"/>
  <c r="M160" i="3"/>
  <c r="P159" i="3"/>
  <c r="O159" i="3"/>
  <c r="N159" i="3"/>
  <c r="M159" i="3"/>
  <c r="P158" i="3"/>
  <c r="O158" i="3"/>
  <c r="N158" i="3"/>
  <c r="M158" i="3"/>
  <c r="P157" i="3"/>
  <c r="O157" i="3"/>
  <c r="N157" i="3"/>
  <c r="M157" i="3"/>
  <c r="P156" i="3"/>
  <c r="O156" i="3"/>
  <c r="N156" i="3"/>
  <c r="M156" i="3"/>
  <c r="P155" i="3"/>
  <c r="O155" i="3"/>
  <c r="N155" i="3"/>
  <c r="M155" i="3"/>
  <c r="P154" i="3"/>
  <c r="O154" i="3"/>
  <c r="N154" i="3"/>
  <c r="M154" i="3"/>
  <c r="P153" i="3"/>
  <c r="O153" i="3"/>
  <c r="N153" i="3"/>
  <c r="M153" i="3"/>
  <c r="P152" i="3"/>
  <c r="O152" i="3"/>
  <c r="N152" i="3"/>
  <c r="M152" i="3"/>
  <c r="P151" i="3"/>
  <c r="O151" i="3"/>
  <c r="N151" i="3"/>
  <c r="M151" i="3"/>
  <c r="P150" i="3"/>
  <c r="O150" i="3"/>
  <c r="N150" i="3"/>
  <c r="M150" i="3"/>
  <c r="P149" i="3"/>
  <c r="O149" i="3"/>
  <c r="N149" i="3"/>
  <c r="M149" i="3"/>
  <c r="P148" i="3"/>
  <c r="O148" i="3"/>
  <c r="N148" i="3"/>
  <c r="M148" i="3"/>
  <c r="P147" i="3"/>
  <c r="O147" i="3"/>
  <c r="N147" i="3"/>
  <c r="M147" i="3"/>
  <c r="P146" i="3"/>
  <c r="O146" i="3"/>
  <c r="N146" i="3"/>
  <c r="M146" i="3"/>
  <c r="P145" i="3"/>
  <c r="O145" i="3"/>
  <c r="N145" i="3"/>
  <c r="M145" i="3"/>
  <c r="P144" i="3"/>
  <c r="O144" i="3"/>
  <c r="N144" i="3"/>
  <c r="M144" i="3"/>
  <c r="P143" i="3"/>
  <c r="O143" i="3"/>
  <c r="N143" i="3"/>
  <c r="M143" i="3"/>
  <c r="P142" i="3"/>
  <c r="O142" i="3"/>
  <c r="N142" i="3"/>
  <c r="M142" i="3"/>
  <c r="P141" i="3"/>
  <c r="O141" i="3"/>
  <c r="N141" i="3"/>
  <c r="M141" i="3"/>
  <c r="P140" i="3"/>
  <c r="O140" i="3"/>
  <c r="N140" i="3"/>
  <c r="M140" i="3"/>
  <c r="P139" i="3"/>
  <c r="O139" i="3"/>
  <c r="N139" i="3"/>
  <c r="M139" i="3"/>
  <c r="P138" i="3"/>
  <c r="O138" i="3"/>
  <c r="N138" i="3"/>
  <c r="M138" i="3"/>
  <c r="P137" i="3"/>
  <c r="O137" i="3"/>
  <c r="N137" i="3"/>
  <c r="M137" i="3"/>
  <c r="P136" i="3"/>
  <c r="O136" i="3"/>
  <c r="N136" i="3"/>
  <c r="M136" i="3"/>
  <c r="P135" i="3"/>
  <c r="O135" i="3"/>
  <c r="N135" i="3"/>
  <c r="M135" i="3"/>
  <c r="P134" i="3"/>
  <c r="O134" i="3"/>
  <c r="N134" i="3"/>
  <c r="M134" i="3"/>
  <c r="P133" i="3"/>
  <c r="O133" i="3"/>
  <c r="N133" i="3"/>
  <c r="M133" i="3"/>
  <c r="P132" i="3"/>
  <c r="O132" i="3"/>
  <c r="N132" i="3"/>
  <c r="M132" i="3"/>
  <c r="P131" i="3"/>
  <c r="O131" i="3"/>
  <c r="N131" i="3"/>
  <c r="M131" i="3"/>
  <c r="P130" i="3"/>
  <c r="O130" i="3"/>
  <c r="N130" i="3"/>
  <c r="M130" i="3"/>
  <c r="P129" i="3"/>
  <c r="O129" i="3"/>
  <c r="N129" i="3"/>
  <c r="M129" i="3"/>
  <c r="P128" i="3"/>
  <c r="O128" i="3"/>
  <c r="N128" i="3"/>
  <c r="M128" i="3"/>
  <c r="P127" i="3"/>
  <c r="O127" i="3"/>
  <c r="N127" i="3"/>
  <c r="M127" i="3"/>
  <c r="P126" i="3"/>
  <c r="O126" i="3"/>
  <c r="N126" i="3"/>
  <c r="M126" i="3"/>
  <c r="P125" i="3"/>
  <c r="O125" i="3"/>
  <c r="N125" i="3"/>
  <c r="M125" i="3"/>
  <c r="P124" i="3"/>
  <c r="O124" i="3"/>
  <c r="N124" i="3"/>
  <c r="M124" i="3"/>
  <c r="P123" i="3"/>
  <c r="O123" i="3"/>
  <c r="N123" i="3"/>
  <c r="M123" i="3"/>
  <c r="P122" i="3"/>
  <c r="O122" i="3"/>
  <c r="N122" i="3"/>
  <c r="M122" i="3"/>
  <c r="P121" i="3"/>
  <c r="O121" i="3"/>
  <c r="N121" i="3"/>
  <c r="M121" i="3"/>
  <c r="P120" i="3"/>
  <c r="O120" i="3"/>
  <c r="N120" i="3"/>
  <c r="M120" i="3"/>
  <c r="P119" i="3"/>
  <c r="O119" i="3"/>
  <c r="N119" i="3"/>
  <c r="M119" i="3"/>
  <c r="P118" i="3"/>
  <c r="O118" i="3"/>
  <c r="N118" i="3"/>
  <c r="M118" i="3"/>
  <c r="P117" i="3"/>
  <c r="O117" i="3"/>
  <c r="N117" i="3"/>
  <c r="M117" i="3"/>
  <c r="P116" i="3"/>
  <c r="O116" i="3"/>
  <c r="N116" i="3"/>
  <c r="M116" i="3"/>
  <c r="P115" i="3"/>
  <c r="O115" i="3"/>
  <c r="N115" i="3"/>
  <c r="M115" i="3"/>
  <c r="P114" i="3"/>
  <c r="O114" i="3"/>
  <c r="N114" i="3"/>
  <c r="M114" i="3"/>
  <c r="P113" i="3"/>
  <c r="O113" i="3"/>
  <c r="N113" i="3"/>
  <c r="M113" i="3"/>
  <c r="P112" i="3"/>
  <c r="O112" i="3"/>
  <c r="N112" i="3"/>
  <c r="M112" i="3"/>
  <c r="P111" i="3"/>
  <c r="O111" i="3"/>
  <c r="N111" i="3"/>
  <c r="M111" i="3"/>
  <c r="P110" i="3"/>
  <c r="O110" i="3"/>
  <c r="N110" i="3"/>
  <c r="M110" i="3"/>
  <c r="P109" i="3"/>
  <c r="O109" i="3"/>
  <c r="N109" i="3"/>
  <c r="M109" i="3"/>
  <c r="P108" i="3"/>
  <c r="O108" i="3"/>
  <c r="N108" i="3"/>
  <c r="M108" i="3"/>
  <c r="P107" i="3"/>
  <c r="O107" i="3"/>
  <c r="N107" i="3"/>
  <c r="M107" i="3"/>
  <c r="P106" i="3"/>
  <c r="O106" i="3"/>
  <c r="N106" i="3"/>
  <c r="M106" i="3"/>
  <c r="P105" i="3"/>
  <c r="O105" i="3"/>
  <c r="N105" i="3"/>
  <c r="M105" i="3"/>
  <c r="P104" i="3"/>
  <c r="O104" i="3"/>
  <c r="N104" i="3"/>
  <c r="M104" i="3"/>
  <c r="P103" i="3"/>
  <c r="O103" i="3"/>
  <c r="N103" i="3"/>
  <c r="M103" i="3"/>
  <c r="P102" i="3"/>
  <c r="O102" i="3"/>
  <c r="N102" i="3"/>
  <c r="M102" i="3"/>
  <c r="P101" i="3"/>
  <c r="O101" i="3"/>
  <c r="N101" i="3"/>
  <c r="M101" i="3"/>
  <c r="P100" i="3"/>
  <c r="O100" i="3"/>
  <c r="N100" i="3"/>
  <c r="M100" i="3"/>
  <c r="P99" i="3"/>
  <c r="O99" i="3"/>
  <c r="N99" i="3"/>
  <c r="M99" i="3"/>
  <c r="P98" i="3"/>
  <c r="O98" i="3"/>
  <c r="N98" i="3"/>
  <c r="M98" i="3"/>
  <c r="P97" i="3"/>
  <c r="O97" i="3"/>
  <c r="N97" i="3"/>
  <c r="M97" i="3"/>
  <c r="P96" i="3"/>
  <c r="O96" i="3"/>
  <c r="N96" i="3"/>
  <c r="M96" i="3"/>
  <c r="P95" i="3"/>
  <c r="O95" i="3"/>
  <c r="N95" i="3"/>
  <c r="M95" i="3"/>
  <c r="P94" i="3"/>
  <c r="O94" i="3"/>
  <c r="N94" i="3"/>
  <c r="M94" i="3"/>
  <c r="P93" i="3"/>
  <c r="O93" i="3"/>
  <c r="N93" i="3"/>
  <c r="M93" i="3"/>
  <c r="P92" i="3"/>
  <c r="O92" i="3"/>
  <c r="N92" i="3"/>
  <c r="M92" i="3"/>
  <c r="P91" i="3"/>
  <c r="O91" i="3"/>
  <c r="N91" i="3"/>
  <c r="M91" i="3"/>
  <c r="P90" i="3"/>
  <c r="O90" i="3"/>
  <c r="N90" i="3"/>
  <c r="M90" i="3"/>
  <c r="P89" i="3"/>
  <c r="O89" i="3"/>
  <c r="N89" i="3"/>
  <c r="M89" i="3"/>
  <c r="P88" i="3"/>
  <c r="O88" i="3"/>
  <c r="N88" i="3"/>
  <c r="M88" i="3"/>
  <c r="P87" i="3"/>
  <c r="O87" i="3"/>
  <c r="N87" i="3"/>
  <c r="M87" i="3"/>
  <c r="P86" i="3"/>
  <c r="O86" i="3"/>
  <c r="N86" i="3"/>
  <c r="M86" i="3"/>
  <c r="P85" i="3"/>
  <c r="O85" i="3"/>
  <c r="N85" i="3"/>
  <c r="M85" i="3"/>
  <c r="P84" i="3"/>
  <c r="O84" i="3"/>
  <c r="N84" i="3"/>
  <c r="M84" i="3"/>
  <c r="P83" i="3"/>
  <c r="O83" i="3"/>
  <c r="N83" i="3"/>
  <c r="M83" i="3"/>
  <c r="P82" i="3"/>
  <c r="O82" i="3"/>
  <c r="N82" i="3"/>
  <c r="M82" i="3"/>
  <c r="P81" i="3"/>
  <c r="O81" i="3"/>
  <c r="N81" i="3"/>
  <c r="M81" i="3"/>
  <c r="P80" i="3"/>
  <c r="O80" i="3"/>
  <c r="N80" i="3"/>
  <c r="M80" i="3"/>
  <c r="P79" i="3"/>
  <c r="O79" i="3"/>
  <c r="N79" i="3"/>
  <c r="M79" i="3"/>
  <c r="P78" i="3"/>
  <c r="O78" i="3"/>
  <c r="N78" i="3"/>
  <c r="M78" i="3"/>
  <c r="P77" i="3"/>
  <c r="O77" i="3"/>
  <c r="N77" i="3"/>
  <c r="M77" i="3"/>
  <c r="P76" i="3"/>
  <c r="O76" i="3"/>
  <c r="N76" i="3"/>
  <c r="M76" i="3"/>
  <c r="P75" i="3"/>
  <c r="O75" i="3"/>
  <c r="N75" i="3"/>
  <c r="M75" i="3"/>
  <c r="P74" i="3"/>
  <c r="O74" i="3"/>
  <c r="N74" i="3"/>
  <c r="M74" i="3"/>
  <c r="P73" i="3"/>
  <c r="O73" i="3"/>
  <c r="N73" i="3"/>
  <c r="M73" i="3"/>
  <c r="P72" i="3"/>
  <c r="O72" i="3"/>
  <c r="N72" i="3"/>
  <c r="M72" i="3"/>
  <c r="P71" i="3"/>
  <c r="O71" i="3"/>
  <c r="N71" i="3"/>
  <c r="M71" i="3"/>
  <c r="P70" i="3"/>
  <c r="O70" i="3"/>
  <c r="N70" i="3"/>
  <c r="M70" i="3"/>
  <c r="P69" i="3"/>
  <c r="O69" i="3"/>
  <c r="N69" i="3"/>
  <c r="M69" i="3"/>
  <c r="P68" i="3"/>
  <c r="O68" i="3"/>
  <c r="N68" i="3"/>
  <c r="M68" i="3"/>
  <c r="P67" i="3"/>
  <c r="O67" i="3"/>
  <c r="N67" i="3"/>
  <c r="M67" i="3"/>
  <c r="P66" i="3"/>
  <c r="O66" i="3"/>
  <c r="N66" i="3"/>
  <c r="M66" i="3"/>
  <c r="P65" i="3"/>
  <c r="O65" i="3"/>
  <c r="N65" i="3"/>
  <c r="M65" i="3"/>
  <c r="P64" i="3"/>
  <c r="O64" i="3"/>
  <c r="N64" i="3"/>
  <c r="M64" i="3"/>
  <c r="P63" i="3"/>
  <c r="O63" i="3"/>
  <c r="N63" i="3"/>
  <c r="M63" i="3"/>
  <c r="P62" i="3"/>
  <c r="O62" i="3"/>
  <c r="N62" i="3"/>
  <c r="M62" i="3"/>
  <c r="P61" i="3"/>
  <c r="O61" i="3"/>
  <c r="N61" i="3"/>
  <c r="M61" i="3"/>
  <c r="P60" i="3"/>
  <c r="O60" i="3"/>
  <c r="N60" i="3"/>
  <c r="M60" i="3"/>
  <c r="P59" i="3"/>
  <c r="O59" i="3"/>
  <c r="N59" i="3"/>
  <c r="M59" i="3"/>
  <c r="P58" i="3"/>
  <c r="O58" i="3"/>
  <c r="N58" i="3"/>
  <c r="M58" i="3"/>
  <c r="P57" i="3"/>
  <c r="O57" i="3"/>
  <c r="N57" i="3"/>
  <c r="M57" i="3"/>
  <c r="P56" i="3"/>
  <c r="O56" i="3"/>
  <c r="N56" i="3"/>
  <c r="M56" i="3"/>
  <c r="P55" i="3"/>
  <c r="O55" i="3"/>
  <c r="N55" i="3"/>
  <c r="M55" i="3"/>
  <c r="P54" i="3"/>
  <c r="O54" i="3"/>
  <c r="N54" i="3"/>
  <c r="M54" i="3"/>
  <c r="P53" i="3"/>
  <c r="O53" i="3"/>
  <c r="N53" i="3"/>
  <c r="M53" i="3"/>
  <c r="P52" i="3"/>
  <c r="O52" i="3"/>
  <c r="N52" i="3"/>
  <c r="M52" i="3"/>
  <c r="P51" i="3"/>
  <c r="O51" i="3"/>
  <c r="N51" i="3"/>
  <c r="M51" i="3"/>
  <c r="P50" i="3"/>
  <c r="O50" i="3"/>
  <c r="N50" i="3"/>
  <c r="M50" i="3"/>
  <c r="P49" i="3"/>
  <c r="O49" i="3"/>
  <c r="N49" i="3"/>
  <c r="M49" i="3"/>
  <c r="P48" i="3"/>
  <c r="O48" i="3"/>
  <c r="N48" i="3"/>
  <c r="M48" i="3"/>
  <c r="P47" i="3"/>
  <c r="O47" i="3"/>
  <c r="N47" i="3"/>
  <c r="M47" i="3"/>
  <c r="P46" i="3"/>
  <c r="O46" i="3"/>
  <c r="N46" i="3"/>
  <c r="M46" i="3"/>
  <c r="P45" i="3"/>
  <c r="O45" i="3"/>
  <c r="N45" i="3"/>
  <c r="M45" i="3"/>
  <c r="P44" i="3"/>
  <c r="O44" i="3"/>
  <c r="N44" i="3"/>
  <c r="M44" i="3"/>
  <c r="P43" i="3"/>
  <c r="O43" i="3"/>
  <c r="N43" i="3"/>
  <c r="M43" i="3"/>
  <c r="P42" i="3"/>
  <c r="O42" i="3"/>
  <c r="N42" i="3"/>
  <c r="M42" i="3"/>
  <c r="P41" i="3"/>
  <c r="O41" i="3"/>
  <c r="N41" i="3"/>
  <c r="M41" i="3"/>
  <c r="P40" i="3"/>
  <c r="O40" i="3"/>
  <c r="N40" i="3"/>
  <c r="M40" i="3"/>
  <c r="P39" i="3"/>
  <c r="O39" i="3"/>
  <c r="N39" i="3"/>
  <c r="M39" i="3"/>
  <c r="P38" i="3"/>
  <c r="O38" i="3"/>
  <c r="N38" i="3"/>
  <c r="M38" i="3"/>
  <c r="P37" i="3"/>
  <c r="O37" i="3"/>
  <c r="N37" i="3"/>
  <c r="M37" i="3"/>
  <c r="P36" i="3"/>
  <c r="O36" i="3"/>
  <c r="N36" i="3"/>
  <c r="M36" i="3"/>
  <c r="P35" i="3"/>
  <c r="O35" i="3"/>
  <c r="N35" i="3"/>
  <c r="M35" i="3"/>
  <c r="P34" i="3"/>
  <c r="O34" i="3"/>
  <c r="N34" i="3"/>
  <c r="M34" i="3"/>
  <c r="P33" i="3"/>
  <c r="O33" i="3"/>
  <c r="N33" i="3"/>
  <c r="M33" i="3"/>
  <c r="P32" i="3"/>
  <c r="O32" i="3"/>
  <c r="N32" i="3"/>
  <c r="M32" i="3"/>
  <c r="P31" i="3"/>
  <c r="O31" i="3"/>
  <c r="N31" i="3"/>
  <c r="M31" i="3"/>
  <c r="P30" i="3"/>
  <c r="O30" i="3"/>
  <c r="N30" i="3"/>
  <c r="M30" i="3"/>
  <c r="P29" i="3"/>
  <c r="O29" i="3"/>
  <c r="N29" i="3"/>
  <c r="M29" i="3"/>
  <c r="P28" i="3"/>
  <c r="O28" i="3"/>
  <c r="N28" i="3"/>
  <c r="M28" i="3"/>
  <c r="P27" i="3"/>
  <c r="O27" i="3"/>
  <c r="N27" i="3"/>
  <c r="M27" i="3"/>
  <c r="P26" i="3"/>
  <c r="O26" i="3"/>
  <c r="N26" i="3"/>
  <c r="M26" i="3"/>
  <c r="P25" i="3"/>
  <c r="O25" i="3"/>
  <c r="N25" i="3"/>
  <c r="M25" i="3"/>
  <c r="P24" i="3"/>
  <c r="O24" i="3"/>
  <c r="N24" i="3"/>
  <c r="M24" i="3"/>
  <c r="P23" i="3"/>
  <c r="O23" i="3"/>
  <c r="N23" i="3"/>
  <c r="M23" i="3"/>
  <c r="P22" i="3"/>
  <c r="O22" i="3"/>
  <c r="N22" i="3"/>
  <c r="M22" i="3"/>
  <c r="P21" i="3"/>
  <c r="O21" i="3"/>
  <c r="N21" i="3"/>
  <c r="M21" i="3"/>
  <c r="P20" i="3"/>
  <c r="O20" i="3"/>
  <c r="N20" i="3"/>
  <c r="M20" i="3"/>
  <c r="P19" i="3"/>
  <c r="O19" i="3"/>
  <c r="N19" i="3"/>
  <c r="M19" i="3"/>
  <c r="P18" i="3"/>
  <c r="O18" i="3"/>
  <c r="N18" i="3"/>
  <c r="M18" i="3"/>
  <c r="P17" i="3"/>
  <c r="O17" i="3"/>
  <c r="N17" i="3"/>
  <c r="M17" i="3"/>
  <c r="P16" i="3"/>
  <c r="O16" i="3"/>
  <c r="N16" i="3"/>
  <c r="M16" i="3"/>
  <c r="P15" i="3"/>
  <c r="O15" i="3"/>
  <c r="N15" i="3"/>
  <c r="M15" i="3"/>
  <c r="P14" i="3"/>
  <c r="O14" i="3"/>
  <c r="N14" i="3"/>
  <c r="M14" i="3"/>
  <c r="P13" i="3"/>
  <c r="O13" i="3"/>
  <c r="N13" i="3"/>
  <c r="M13" i="3"/>
  <c r="P12" i="3"/>
  <c r="O12" i="3"/>
  <c r="N12" i="3"/>
  <c r="M12" i="3"/>
  <c r="P11" i="3"/>
  <c r="O11" i="3"/>
  <c r="N11" i="3"/>
  <c r="M11" i="3"/>
  <c r="P10" i="3"/>
  <c r="O10" i="3"/>
  <c r="N10" i="3"/>
  <c r="M10" i="3"/>
  <c r="P9" i="3"/>
  <c r="O9" i="3"/>
  <c r="N9" i="3"/>
  <c r="M9" i="3"/>
  <c r="P8" i="3"/>
  <c r="O8" i="3"/>
  <c r="N8" i="3"/>
  <c r="M8" i="3"/>
  <c r="P7" i="3"/>
  <c r="O7" i="3"/>
  <c r="N7" i="3"/>
  <c r="M7" i="3"/>
  <c r="P6" i="3"/>
  <c r="O6" i="3"/>
  <c r="N6" i="3"/>
  <c r="M6" i="3"/>
  <c r="P5" i="3"/>
  <c r="O5" i="3"/>
  <c r="N5" i="3"/>
  <c r="M5" i="3"/>
  <c r="P4" i="3"/>
  <c r="O4" i="3"/>
  <c r="N4" i="3"/>
  <c r="M4" i="3"/>
  <c r="P3" i="3"/>
  <c r="O3" i="3"/>
  <c r="N3" i="3"/>
  <c r="M3" i="3"/>
  <c r="P2" i="3"/>
  <c r="O2" i="3"/>
  <c r="N2" i="3"/>
  <c r="M2" i="3"/>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O108"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<sst xmlns="http://schemas.openxmlformats.org/spreadsheetml/2006/main" count="5734" uniqueCount="483">
  <si>
    <t>Resident ID</t>
  </si>
  <si>
    <t>Resident Name</t>
  </si>
  <si>
    <t>Property</t>
  </si>
  <si>
    <t>City</t>
  </si>
  <si>
    <t>Move-In Date</t>
  </si>
  <si>
    <t>Agreement Start Date</t>
  </si>
  <si>
    <t>Agreement End Date</t>
  </si>
  <si>
    <t>Monthly Rent</t>
  </si>
  <si>
    <t>Occupancy Status</t>
  </si>
  <si>
    <t>Move-In Status</t>
  </si>
  <si>
    <t>Booking Source</t>
  </si>
  <si>
    <t>Revenue</t>
  </si>
  <si>
    <t>R0001</t>
  </si>
  <si>
    <t>Resident 1</t>
  </si>
  <si>
    <t>Gamma Residency</t>
  </si>
  <si>
    <t>mumbai</t>
  </si>
  <si>
    <t>Occupied</t>
  </si>
  <si>
    <t>Pending</t>
  </si>
  <si>
    <t>Walk-in</t>
  </si>
  <si>
    <t>R0002</t>
  </si>
  <si>
    <t>Resident 2</t>
  </si>
  <si>
    <t>Delta Stay</t>
  </si>
  <si>
    <t>Bangalore</t>
  </si>
  <si>
    <t>Vacant</t>
  </si>
  <si>
    <t>R0003</t>
  </si>
  <si>
    <t>Resident 3</t>
  </si>
  <si>
    <t>Partner</t>
  </si>
  <si>
    <t>R0004</t>
  </si>
  <si>
    <t>Resident 4</t>
  </si>
  <si>
    <t>Alpha House</t>
  </si>
  <si>
    <t>Mumbai</t>
  </si>
  <si>
    <t>Website</t>
  </si>
  <si>
    <t>R0005</t>
  </si>
  <si>
    <t>Resident 5</t>
  </si>
  <si>
    <t>MUMBAI</t>
  </si>
  <si>
    <t>Completed</t>
  </si>
  <si>
    <t>R0006</t>
  </si>
  <si>
    <t>Resident 6</t>
  </si>
  <si>
    <t>Beta Living</t>
  </si>
  <si>
    <t>R0007</t>
  </si>
  <si>
    <t>Resident 7</t>
  </si>
  <si>
    <t>R0008</t>
  </si>
  <si>
    <t>Resident 8</t>
  </si>
  <si>
    <t>R0009</t>
  </si>
  <si>
    <t>Resident 9</t>
  </si>
  <si>
    <t>Pune</t>
  </si>
  <si>
    <t>R0010</t>
  </si>
  <si>
    <t>Resident 10</t>
  </si>
  <si>
    <t>R0011</t>
  </si>
  <si>
    <t>Resident 11</t>
  </si>
  <si>
    <t>R0012</t>
  </si>
  <si>
    <t>Resident 12</t>
  </si>
  <si>
    <t>R0013</t>
  </si>
  <si>
    <t>Resident 13</t>
  </si>
  <si>
    <t>R0014</t>
  </si>
  <si>
    <t>Resident 14</t>
  </si>
  <si>
    <t>R0015</t>
  </si>
  <si>
    <t>Resident 15</t>
  </si>
  <si>
    <t>R0016</t>
  </si>
  <si>
    <t>Resident 16</t>
  </si>
  <si>
    <t>R0017</t>
  </si>
  <si>
    <t>Resident 17</t>
  </si>
  <si>
    <t>R0018</t>
  </si>
  <si>
    <t>Resident 18</t>
  </si>
  <si>
    <t>R0019</t>
  </si>
  <si>
    <t>Resident 19</t>
  </si>
  <si>
    <t>R0020</t>
  </si>
  <si>
    <t>Resident 20</t>
  </si>
  <si>
    <t>Referral</t>
  </si>
  <si>
    <t>R0021</t>
  </si>
  <si>
    <t>Resident 21</t>
  </si>
  <si>
    <t>R0022</t>
  </si>
  <si>
    <t>Resident 22</t>
  </si>
  <si>
    <t>R0023</t>
  </si>
  <si>
    <t>Resident 23</t>
  </si>
  <si>
    <t>R0024</t>
  </si>
  <si>
    <t>Resident 24</t>
  </si>
  <si>
    <t>R0025</t>
  </si>
  <si>
    <t>Resident 25</t>
  </si>
  <si>
    <t>R0026</t>
  </si>
  <si>
    <t>Resident 26</t>
  </si>
  <si>
    <t>R0027</t>
  </si>
  <si>
    <t>Resident 27</t>
  </si>
  <si>
    <t>R0028</t>
  </si>
  <si>
    <t>Resident 28</t>
  </si>
  <si>
    <t>R0029</t>
  </si>
  <si>
    <t>Resident 29</t>
  </si>
  <si>
    <t>R0030</t>
  </si>
  <si>
    <t>Resident 30</t>
  </si>
  <si>
    <t>R0031</t>
  </si>
  <si>
    <t>Resident 31</t>
  </si>
  <si>
    <t>R0032</t>
  </si>
  <si>
    <t>Resident 32</t>
  </si>
  <si>
    <t>R0033</t>
  </si>
  <si>
    <t>Resident 33</t>
  </si>
  <si>
    <t>R0034</t>
  </si>
  <si>
    <t>Resident 34</t>
  </si>
  <si>
    <t>R0035</t>
  </si>
  <si>
    <t>Resident 35</t>
  </si>
  <si>
    <t>R0036</t>
  </si>
  <si>
    <t>Resident 36</t>
  </si>
  <si>
    <t>R0037</t>
  </si>
  <si>
    <t>Resident 37</t>
  </si>
  <si>
    <t>R0038</t>
  </si>
  <si>
    <t>Resident 38</t>
  </si>
  <si>
    <t>R0039</t>
  </si>
  <si>
    <t>Resident 39</t>
  </si>
  <si>
    <t>R0040</t>
  </si>
  <si>
    <t>Resident 40</t>
  </si>
  <si>
    <t>R0041</t>
  </si>
  <si>
    <t>Resident 41</t>
  </si>
  <si>
    <t>R0042</t>
  </si>
  <si>
    <t>Resident 42</t>
  </si>
  <si>
    <t>R0043</t>
  </si>
  <si>
    <t>Resident 43</t>
  </si>
  <si>
    <t>R0044</t>
  </si>
  <si>
    <t>Resident 44</t>
  </si>
  <si>
    <t>R0045</t>
  </si>
  <si>
    <t>Resident 45</t>
  </si>
  <si>
    <t>R0046</t>
  </si>
  <si>
    <t>Resident 46</t>
  </si>
  <si>
    <t>R0047</t>
  </si>
  <si>
    <t>Resident 47</t>
  </si>
  <si>
    <t>R0048</t>
  </si>
  <si>
    <t>Resident 48</t>
  </si>
  <si>
    <t>R0049</t>
  </si>
  <si>
    <t>Resident 49</t>
  </si>
  <si>
    <t>R0050</t>
  </si>
  <si>
    <t>Resident 50</t>
  </si>
  <si>
    <t>R0051</t>
  </si>
  <si>
    <t>Resident 51</t>
  </si>
  <si>
    <t>R0052</t>
  </si>
  <si>
    <t>Resident 52</t>
  </si>
  <si>
    <t>R0053</t>
  </si>
  <si>
    <t>Resident 53</t>
  </si>
  <si>
    <t>R0054</t>
  </si>
  <si>
    <t>Resident 54</t>
  </si>
  <si>
    <t>R0055</t>
  </si>
  <si>
    <t>Resident 55</t>
  </si>
  <si>
    <t>R0056</t>
  </si>
  <si>
    <t>Resident 56</t>
  </si>
  <si>
    <t>R0057</t>
  </si>
  <si>
    <t>Resident 57</t>
  </si>
  <si>
    <t>R0058</t>
  </si>
  <si>
    <t>Resident 58</t>
  </si>
  <si>
    <t>R0059</t>
  </si>
  <si>
    <t>Resident 59</t>
  </si>
  <si>
    <t>R0060</t>
  </si>
  <si>
    <t>Resident 60</t>
  </si>
  <si>
    <t>R0061</t>
  </si>
  <si>
    <t>Resident 61</t>
  </si>
  <si>
    <t>R0062</t>
  </si>
  <si>
    <t>Resident 62</t>
  </si>
  <si>
    <t>R0063</t>
  </si>
  <si>
    <t>Resident 63</t>
  </si>
  <si>
    <t>R0064</t>
  </si>
  <si>
    <t>Resident 64</t>
  </si>
  <si>
    <t>R0065</t>
  </si>
  <si>
    <t>Resident 65</t>
  </si>
  <si>
    <t>R0066</t>
  </si>
  <si>
    <t>Resident 66</t>
  </si>
  <si>
    <t>R0067</t>
  </si>
  <si>
    <t>Resident 67</t>
  </si>
  <si>
    <t>R0068</t>
  </si>
  <si>
    <t>Resident 68</t>
  </si>
  <si>
    <t>R0069</t>
  </si>
  <si>
    <t>Resident 69</t>
  </si>
  <si>
    <t>R0070</t>
  </si>
  <si>
    <t>Resident 70</t>
  </si>
  <si>
    <t>R0071</t>
  </si>
  <si>
    <t>Resident 71</t>
  </si>
  <si>
    <t>R0072</t>
  </si>
  <si>
    <t>Resident 72</t>
  </si>
  <si>
    <t>R0073</t>
  </si>
  <si>
    <t>Resident 73</t>
  </si>
  <si>
    <t>R0074</t>
  </si>
  <si>
    <t>Resident 74</t>
  </si>
  <si>
    <t>R0075</t>
  </si>
  <si>
    <t>Resident 75</t>
  </si>
  <si>
    <t>R0076</t>
  </si>
  <si>
    <t>Resident 76</t>
  </si>
  <si>
    <t>R0077</t>
  </si>
  <si>
    <t>Resident 77</t>
  </si>
  <si>
    <t>R0078</t>
  </si>
  <si>
    <t>Resident 78</t>
  </si>
  <si>
    <t>R0079</t>
  </si>
  <si>
    <t>Resident 79</t>
  </si>
  <si>
    <t>R0080</t>
  </si>
  <si>
    <t>Resident 80</t>
  </si>
  <si>
    <t>R0081</t>
  </si>
  <si>
    <t>Resident 81</t>
  </si>
  <si>
    <t>R0082</t>
  </si>
  <si>
    <t>Resident 82</t>
  </si>
  <si>
    <t>R0083</t>
  </si>
  <si>
    <t>Resident 83</t>
  </si>
  <si>
    <t>R0084</t>
  </si>
  <si>
    <t>Resident 84</t>
  </si>
  <si>
    <t>R0085</t>
  </si>
  <si>
    <t>Resident 85</t>
  </si>
  <si>
    <t>R0086</t>
  </si>
  <si>
    <t>Resident 86</t>
  </si>
  <si>
    <t>R0087</t>
  </si>
  <si>
    <t>Resident 87</t>
  </si>
  <si>
    <t>R0088</t>
  </si>
  <si>
    <t>Resident 88</t>
  </si>
  <si>
    <t>R0089</t>
  </si>
  <si>
    <t>Resident 89</t>
  </si>
  <si>
    <t>R0090</t>
  </si>
  <si>
    <t>Resident 90</t>
  </si>
  <si>
    <t>R0091</t>
  </si>
  <si>
    <t>Resident 91</t>
  </si>
  <si>
    <t>R0092</t>
  </si>
  <si>
    <t>Resident 92</t>
  </si>
  <si>
    <t>R0093</t>
  </si>
  <si>
    <t>Resident 93</t>
  </si>
  <si>
    <t>R0094</t>
  </si>
  <si>
    <t>Resident 94</t>
  </si>
  <si>
    <t>R0095</t>
  </si>
  <si>
    <t>Resident 95</t>
  </si>
  <si>
    <t>R0096</t>
  </si>
  <si>
    <t>Resident 96</t>
  </si>
  <si>
    <t>R0097</t>
  </si>
  <si>
    <t>Resident 97</t>
  </si>
  <si>
    <t>R0098</t>
  </si>
  <si>
    <t>Resident 98</t>
  </si>
  <si>
    <t>R0099</t>
  </si>
  <si>
    <t>Resident 99</t>
  </si>
  <si>
    <t>R0100</t>
  </si>
  <si>
    <t>Resident 100</t>
  </si>
  <si>
    <t>R0101</t>
  </si>
  <si>
    <t>Resident 101</t>
  </si>
  <si>
    <t>R0102</t>
  </si>
  <si>
    <t>Resident 102</t>
  </si>
  <si>
    <t>R0103</t>
  </si>
  <si>
    <t>Resident 103</t>
  </si>
  <si>
    <t>R0104</t>
  </si>
  <si>
    <t>Resident 104</t>
  </si>
  <si>
    <t>R0105</t>
  </si>
  <si>
    <t>Resident 105</t>
  </si>
  <si>
    <t>R0106</t>
  </si>
  <si>
    <t>Resident 106</t>
  </si>
  <si>
    <t>R0107</t>
  </si>
  <si>
    <t>Resident 107</t>
  </si>
  <si>
    <t>R0108</t>
  </si>
  <si>
    <t>Resident 108</t>
  </si>
  <si>
    <t>R0109</t>
  </si>
  <si>
    <t>Resident 109</t>
  </si>
  <si>
    <t>R0110</t>
  </si>
  <si>
    <t>Resident 110</t>
  </si>
  <si>
    <t>R0111</t>
  </si>
  <si>
    <t>Resident 111</t>
  </si>
  <si>
    <t>R0112</t>
  </si>
  <si>
    <t>Resident 112</t>
  </si>
  <si>
    <t>R0113</t>
  </si>
  <si>
    <t>Resident 113</t>
  </si>
  <si>
    <t>R0114</t>
  </si>
  <si>
    <t>Resident 114</t>
  </si>
  <si>
    <t>R0115</t>
  </si>
  <si>
    <t>Resident 115</t>
  </si>
  <si>
    <t>R0116</t>
  </si>
  <si>
    <t>Resident 116</t>
  </si>
  <si>
    <t>R0117</t>
  </si>
  <si>
    <t>Resident 117</t>
  </si>
  <si>
    <t>R0118</t>
  </si>
  <si>
    <t>Resident 118</t>
  </si>
  <si>
    <t>R0119</t>
  </si>
  <si>
    <t>Resident 119</t>
  </si>
  <si>
    <t>R0120</t>
  </si>
  <si>
    <t>Resident 120</t>
  </si>
  <si>
    <t>R0121</t>
  </si>
  <si>
    <t>Resident 121</t>
  </si>
  <si>
    <t>R0122</t>
  </si>
  <si>
    <t>Resident 122</t>
  </si>
  <si>
    <t>R0123</t>
  </si>
  <si>
    <t>Resident 123</t>
  </si>
  <si>
    <t>R0124</t>
  </si>
  <si>
    <t>Resident 124</t>
  </si>
  <si>
    <t>R0125</t>
  </si>
  <si>
    <t>Resident 125</t>
  </si>
  <si>
    <t>R0126</t>
  </si>
  <si>
    <t>Resident 126</t>
  </si>
  <si>
    <t>R0127</t>
  </si>
  <si>
    <t>Resident 127</t>
  </si>
  <si>
    <t>R0128</t>
  </si>
  <si>
    <t>Resident 128</t>
  </si>
  <si>
    <t>R0129</t>
  </si>
  <si>
    <t>Resident 129</t>
  </si>
  <si>
    <t>R0130</t>
  </si>
  <si>
    <t>Resident 130</t>
  </si>
  <si>
    <t>R0131</t>
  </si>
  <si>
    <t>Resident 131</t>
  </si>
  <si>
    <t>R0132</t>
  </si>
  <si>
    <t>Resident 132</t>
  </si>
  <si>
    <t>R0133</t>
  </si>
  <si>
    <t>Resident 133</t>
  </si>
  <si>
    <t>R0134</t>
  </si>
  <si>
    <t>Resident 134</t>
  </si>
  <si>
    <t>R0135</t>
  </si>
  <si>
    <t>Resident 135</t>
  </si>
  <si>
    <t>R0136</t>
  </si>
  <si>
    <t>Resident 136</t>
  </si>
  <si>
    <t>R0137</t>
  </si>
  <si>
    <t>Resident 137</t>
  </si>
  <si>
    <t>R0138</t>
  </si>
  <si>
    <t>Resident 138</t>
  </si>
  <si>
    <t>R0139</t>
  </si>
  <si>
    <t>Resident 139</t>
  </si>
  <si>
    <t>R0140</t>
  </si>
  <si>
    <t>Resident 140</t>
  </si>
  <si>
    <t>R0141</t>
  </si>
  <si>
    <t>Resident 141</t>
  </si>
  <si>
    <t>R0142</t>
  </si>
  <si>
    <t>Resident 142</t>
  </si>
  <si>
    <t>R0143</t>
  </si>
  <si>
    <t>Resident 143</t>
  </si>
  <si>
    <t>R0144</t>
  </si>
  <si>
    <t>Resident 144</t>
  </si>
  <si>
    <t>R0145</t>
  </si>
  <si>
    <t>Resident 145</t>
  </si>
  <si>
    <t>R0146</t>
  </si>
  <si>
    <t>Resident 146</t>
  </si>
  <si>
    <t>R0147</t>
  </si>
  <si>
    <t>Resident 147</t>
  </si>
  <si>
    <t>R0148</t>
  </si>
  <si>
    <t>Resident 148</t>
  </si>
  <si>
    <t>R0149</t>
  </si>
  <si>
    <t>Resident 149</t>
  </si>
  <si>
    <t>R0150</t>
  </si>
  <si>
    <t>Resident 150</t>
  </si>
  <si>
    <t>R0151</t>
  </si>
  <si>
    <t>Resident 151</t>
  </si>
  <si>
    <t>R0152</t>
  </si>
  <si>
    <t>Resident 152</t>
  </si>
  <si>
    <t>R0153</t>
  </si>
  <si>
    <t>Resident 153</t>
  </si>
  <si>
    <t>R0154</t>
  </si>
  <si>
    <t>Resident 154</t>
  </si>
  <si>
    <t>R0155</t>
  </si>
  <si>
    <t>Resident 155</t>
  </si>
  <si>
    <t>R0156</t>
  </si>
  <si>
    <t>Resident 156</t>
  </si>
  <si>
    <t>R0157</t>
  </si>
  <si>
    <t>Resident 157</t>
  </si>
  <si>
    <t>R0158</t>
  </si>
  <si>
    <t>Resident 158</t>
  </si>
  <si>
    <t>R0159</t>
  </si>
  <si>
    <t>Resident 159</t>
  </si>
  <si>
    <t>R0160</t>
  </si>
  <si>
    <t>Resident 160</t>
  </si>
  <si>
    <t>R0161</t>
  </si>
  <si>
    <t>Resident 161</t>
  </si>
  <si>
    <t>R0162</t>
  </si>
  <si>
    <t>Resident 162</t>
  </si>
  <si>
    <t>R0163</t>
  </si>
  <si>
    <t>Resident 163</t>
  </si>
  <si>
    <t>R0164</t>
  </si>
  <si>
    <t>Resident 164</t>
  </si>
  <si>
    <t>R0165</t>
  </si>
  <si>
    <t>Resident 165</t>
  </si>
  <si>
    <t>R0166</t>
  </si>
  <si>
    <t>Resident 166</t>
  </si>
  <si>
    <t>R0167</t>
  </si>
  <si>
    <t>Resident 167</t>
  </si>
  <si>
    <t>R0168</t>
  </si>
  <si>
    <t>Resident 168</t>
  </si>
  <si>
    <t>R0169</t>
  </si>
  <si>
    <t>Resident 169</t>
  </si>
  <si>
    <t>R0170</t>
  </si>
  <si>
    <t>Resident 170</t>
  </si>
  <si>
    <t>R0171</t>
  </si>
  <si>
    <t>Resident 171</t>
  </si>
  <si>
    <t>R0172</t>
  </si>
  <si>
    <t>Resident 172</t>
  </si>
  <si>
    <t>R0173</t>
  </si>
  <si>
    <t>Resident 173</t>
  </si>
  <si>
    <t>R0174</t>
  </si>
  <si>
    <t>Resident 174</t>
  </si>
  <si>
    <t>R0175</t>
  </si>
  <si>
    <t>Resident 175</t>
  </si>
  <si>
    <t>R0176</t>
  </si>
  <si>
    <t>Resident 176</t>
  </si>
  <si>
    <t>R0177</t>
  </si>
  <si>
    <t>Resident 177</t>
  </si>
  <si>
    <t>R0178</t>
  </si>
  <si>
    <t>Resident 178</t>
  </si>
  <si>
    <t>R0179</t>
  </si>
  <si>
    <t>Resident 179</t>
  </si>
  <si>
    <t>R0180</t>
  </si>
  <si>
    <t>Resident 180</t>
  </si>
  <si>
    <t>R0181</t>
  </si>
  <si>
    <t>Resident 181</t>
  </si>
  <si>
    <t>R0182</t>
  </si>
  <si>
    <t>Resident 182</t>
  </si>
  <si>
    <t>R0183</t>
  </si>
  <si>
    <t>Resident 183</t>
  </si>
  <si>
    <t>R0184</t>
  </si>
  <si>
    <t>Resident 184</t>
  </si>
  <si>
    <t>R0185</t>
  </si>
  <si>
    <t>Resident 185</t>
  </si>
  <si>
    <t>R0186</t>
  </si>
  <si>
    <t>Resident 186</t>
  </si>
  <si>
    <t>R0187</t>
  </si>
  <si>
    <t>Resident 187</t>
  </si>
  <si>
    <t>R0188</t>
  </si>
  <si>
    <t>Resident 188</t>
  </si>
  <si>
    <t>R0189</t>
  </si>
  <si>
    <t>Resident 189</t>
  </si>
  <si>
    <t>R0190</t>
  </si>
  <si>
    <t>Resident 190</t>
  </si>
  <si>
    <t>R0191</t>
  </si>
  <si>
    <t>Resident 191</t>
  </si>
  <si>
    <t>R0192</t>
  </si>
  <si>
    <t>Resident 192</t>
  </si>
  <si>
    <t>R0193</t>
  </si>
  <si>
    <t>Resident 193</t>
  </si>
  <si>
    <t>R0194</t>
  </si>
  <si>
    <t>Resident 194</t>
  </si>
  <si>
    <t>R0195</t>
  </si>
  <si>
    <t>Resident 195</t>
  </si>
  <si>
    <t>R0196</t>
  </si>
  <si>
    <t>Resident 196</t>
  </si>
  <si>
    <t>R0197</t>
  </si>
  <si>
    <t>Resident 197</t>
  </si>
  <si>
    <t>R0198</t>
  </si>
  <si>
    <t>Resident 198</t>
  </si>
  <si>
    <t>R0199</t>
  </si>
  <si>
    <t>Resident 199</t>
  </si>
  <si>
    <t>R0200</t>
  </si>
  <si>
    <t>Resident 200</t>
  </si>
  <si>
    <t>Issue Type</t>
  </si>
  <si>
    <t>Missing Values</t>
  </si>
  <si>
    <t>Duplicate Records</t>
  </si>
  <si>
    <t>Invalid Dates</t>
  </si>
  <si>
    <t>Blank Occupancy Status</t>
  </si>
  <si>
    <t>Missing Agreement Dates</t>
  </si>
  <si>
    <t>Count</t>
  </si>
  <si>
    <t>Revenue Band</t>
  </si>
  <si>
    <t>Stay Duration</t>
  </si>
  <si>
    <t>Occupancy Flag</t>
  </si>
  <si>
    <t>Overstay Days</t>
  </si>
  <si>
    <t>Days Overstayed</t>
  </si>
  <si>
    <t>Days Delayed</t>
  </si>
  <si>
    <t>Metric</t>
  </si>
  <si>
    <t>Delayed Move-Ins</t>
  </si>
  <si>
    <t>Overstayed Residents</t>
  </si>
  <si>
    <t>Question</t>
  </si>
  <si>
    <t>Answer</t>
  </si>
  <si>
    <t>Total Occupied Residents</t>
  </si>
  <si>
    <t>Occupancy Percentage</t>
  </si>
  <si>
    <t>Total Revenue</t>
  </si>
  <si>
    <t>Average Monthly Rent</t>
  </si>
  <si>
    <t>Revenue by City</t>
  </si>
  <si>
    <t>Highest Revenue Booking Source</t>
  </si>
  <si>
    <t>Expired Agreements</t>
  </si>
  <si>
    <t>Pending Move-Ins</t>
  </si>
  <si>
    <t xml:space="preserve">Total Vacant Residents </t>
  </si>
  <si>
    <t>Grand Total</t>
  </si>
  <si>
    <t>Sum of Revenue</t>
  </si>
  <si>
    <t>Top  Properties by Revenue</t>
  </si>
  <si>
    <t>Sum of Occupancy Flag</t>
  </si>
  <si>
    <t>Count of Resident ID</t>
  </si>
  <si>
    <t>Action</t>
  </si>
  <si>
    <t>Filled missing Monthly Rent values using the average (₹12,199) and updated Revenue values</t>
  </si>
  <si>
    <t>No duplicates found</t>
  </si>
  <si>
    <t>All dates were valid</t>
  </si>
  <si>
    <t>No missing occupancy records</t>
  </si>
  <si>
    <t>No missing agreement dates</t>
  </si>
  <si>
    <t xml:space="preserve">1. Alpha House - 677199      2.Gamma Residency - 674000
3. Beta Living - 552199              4.Delta Stay - 542000
</t>
  </si>
  <si>
    <t>Mumbai – 1515199
Bangalore – 471000
Pune – 459199</t>
  </si>
  <si>
    <t>city</t>
  </si>
  <si>
    <t>Booking by Source</t>
  </si>
  <si>
    <t>RECOMMENDATIONS</t>
  </si>
  <si>
    <t>➙ Implement automated reminders and follow-up processes for expiring agreements to reduce operational delays and improve resident retention.</t>
  </si>
  <si>
    <t>➙Focus marketing efforts on high-performing booking channels such as Walk-in sources to maximize revenue generation.</t>
  </si>
  <si>
    <t>➙Develop occupancy improvement strategies for underperforming properties through targeted promotions and pricing optimization.</t>
  </si>
  <si>
    <t>➙Regularly monitor delayed move-ins and overstayed residents through monthly operational audits to improve compliance and operational efficiency.</t>
  </si>
  <si>
    <t>➙The occupancy rate stands at approximately 60%, leaving room for improving utilization.</t>
  </si>
  <si>
    <t>➙A significant number of agreements (125) have expired, highlighting the need for timely renewals.</t>
  </si>
  <si>
    <t>➙Revenue is concentrated among a small number of properties, suggesting opportunities to improve performance across lower-revenue properties.</t>
  </si>
  <si>
    <t>OBSERVATION</t>
  </si>
  <si>
    <t xml:space="preserve"> ➙Alpha Residency generated the highest revenue among all properties, contributing ₹677,199.</t>
  </si>
  <si>
    <t xml:space="preserve"> ➙Mumbai contributed the highest revenue (₹1,515,199), indicating strong demand in that city</t>
  </si>
  <si>
    <t>➙Website bookings were the most profitable source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</si>
</sst>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yyyy\-mm\-dd"/>
    <numFmt numFmtId="165" formatCode="&quot;₹&quot;\ #,##0.00"/>
  </numFmts>
  <fonts count="7"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
      <b/>
      <sz val="11"/>
      <name val="Calibri"/>
      <family val="2"/>
    </font>
    <font>
      <sz val="11"/>
      <color theme="1"/>
      <name val="Cambria"/>
      <family val="1"/>
    </font>
    <font>
      <sz val="16"/>
      <color theme="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3" tint="0.79998168889431442"/>
        <bgColor indexed="64"/>
      </patternFill>
    </fill>
  </fills>
  <borders count="21">
    <border>
      <left/>
      <right/>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bottom style="medium">
        <color indexed="6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top/>
      <bottom/>
      <diagonal/>
    </border>
    <border>
      <left style="thin">
        <color theme="0" tint="-4.9989318521683403E-2"/>
      </left>
      <right/>
      <top/>
      <bottom style="thin">
        <color theme="0" tint="-4.9989318521683403E-2"/>
      </bottom>
      <diagonal/>
    </border>
    <border>
      <left/>
      <right style="thin">
        <color theme="0" tint="-4.9989318521683403E-2"/>
      </right>
      <top/>
      <bottom/>
      <diagonal/>
    </border>
    <border>
      <left style="thin">
        <color theme="0" tint="-4.9989318521683403E-2"/>
      </left>
      <right style="thin">
        <color indexed="64"/>
      </right>
      <top style="thin">
        <color theme="0" tint="-4.9989318521683403E-2"/>
      </top>
      <bottom style="thin">
        <color theme="0" tint="-4.9989318521683403E-2"/>
      </bottom>
      <diagonal/>
    </border>
    <border>
      <left/>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theme="1"/>
      </left>
      <right style="thin">
        <color theme="1"/>
      </right>
      <top style="thin">
        <color theme="1"/>
      </top>
      <bottom style="thin">
        <color theme="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66">
    <xf numFmtId="0" fontId="0" fillId="0" borderId="0" xfId="0"/>
    <xf numFmtId="0" fontId="1" fillId="0" borderId="0" xfId="0" applyFont="1"/>
    <xf numFmtId="164" fontId="0" fillId="0" borderId="0" xfId="0" applyNumberFormat="1"/>
    <xf numFmtId="0" fontId="0" fillId="0" borderId="0" xfId="0" applyAlignment="1">
      <alignment vertical="center" wrapText="1"/>
    </xf>
    <xf numFmtId="0" fontId="0" fillId="4" borderId="1" xfId="0" applyFill="1" applyBorder="1"/>
    <xf numFmtId="0" fontId="2" fillId="0" borderId="2" xfId="0" applyFont="1" applyBorder="1"/>
    <xf numFmtId="0" fontId="2" fillId="0" borderId="2" xfId="0" applyFont="1" applyBorder="1" applyAlignment="1">
      <alignment vertical="center" wrapText="1"/>
    </xf>
    <xf numFmtId="0" fontId="2" fillId="5" borderId="2" xfId="0" applyFont="1" applyFill="1" applyBorder="1"/>
    <xf numFmtId="0" fontId="4" fillId="2" borderId="0" xfId="0" applyFont="1" applyFill="1"/>
    <xf numFmtId="0" fontId="4" fillId="2" borderId="3" xfId="0" applyFont="1" applyFill="1" applyBorder="1"/>
    <xf numFmtId="0" fontId="0" fillId="3" borderId="4" xfId="0" applyFill="1" applyBorder="1"/>
    <xf numFmtId="0" fontId="0" fillId="3" borderId="5" xfId="0" applyFill="1" applyBorder="1"/>
    <xf numFmtId="164" fontId="0" fillId="3" borderId="5" xfId="0" applyNumberFormat="1" applyFill="1" applyBorder="1"/>
    <xf numFmtId="0" fontId="0" fillId="4" borderId="6" xfId="0" applyFill="1" applyBorder="1"/>
    <xf numFmtId="164" fontId="0" fillId="4" borderId="1" xfId="0" applyNumberFormat="1" applyFill="1" applyBorder="1"/>
    <xf numFmtId="0" fontId="0" fillId="3" borderId="6" xfId="0" applyFill="1" applyBorder="1"/>
    <xf numFmtId="0" fontId="0" fillId="3" borderId="1" xfId="0" applyFill="1" applyBorder="1"/>
    <xf numFmtId="164" fontId="0" fillId="3" borderId="1" xfId="0" applyNumberFormat="1" applyFill="1" applyBorder="1"/>
    <xf numFmtId="0" fontId="0" fillId="0" borderId="0" xfId="0" applyAlignment="1">
      <alignment horizontal="left"/>
    </xf>
    <xf numFmtId="0" fontId="0" fillId="0" borderId="0" xfId="0" applyAlignment="1">
      <alignment horizontal="center"/>
    </xf>
    <xf numFmtId="0" fontId="0" fillId="0" borderId="2" xfId="0" applyBorder="1"/>
    <xf numFmtId="0" fontId="5" fillId="0" borderId="2" xfId="0" applyFont="1" applyBorder="1"/>
    <xf numFmtId="0" fontId="0" fillId="0" borderId="2" xfId="0" applyBorder="1" applyAlignment="1">
      <alignment vertical="center" wrapText="1"/>
    </xf>
    <xf numFmtId="43" fontId="0" fillId="0" borderId="0" xfId="1" applyFont="1"/>
    <xf numFmtId="43" fontId="0" fillId="0" borderId="2" xfId="1" applyFont="1" applyBorder="1" applyAlignment="1">
      <alignment horizontal="center" wrapText="1"/>
    </xf>
    <xf numFmtId="2" fontId="0" fillId="0" borderId="0" xfId="0" applyNumberFormat="1"/>
    <xf numFmtId="0" fontId="0" fillId="0" borderId="0" xfId="0" applyAlignment="1">
      <alignment wrapText="1"/>
    </xf>
    <xf numFmtId="0" fontId="2" fillId="0" borderId="2" xfId="0" applyFont="1" applyBorder="1" applyAlignment="1">
      <alignment horizontal="center" vertical="center" wrapText="1"/>
    </xf>
    <xf numFmtId="0" fontId="0" fillId="0" borderId="2" xfId="0" applyBorder="1" applyAlignment="1">
      <alignment wrapText="1"/>
    </xf>
    <xf numFmtId="0" fontId="0" fillId="6" borderId="0" xfId="0" applyFill="1"/>
    <xf numFmtId="0" fontId="0" fillId="6" borderId="0" xfId="0" applyFill="1" applyAlignment="1">
      <alignment vertical="center" wrapText="1"/>
    </xf>
    <xf numFmtId="0" fontId="2" fillId="6" borderId="0" xfId="0" applyFont="1" applyFill="1" applyAlignment="1">
      <alignment horizontal="center" vertical="center" wrapText="1"/>
    </xf>
    <xf numFmtId="9" fontId="2" fillId="6" borderId="0" xfId="2" applyFont="1" applyFill="1" applyBorder="1" applyAlignment="1">
      <alignment horizontal="center" vertical="center"/>
    </xf>
    <xf numFmtId="43" fontId="2" fillId="6" borderId="0" xfId="1" applyFont="1" applyFill="1" applyBorder="1" applyAlignment="1">
      <alignment vertical="center"/>
    </xf>
    <xf numFmtId="0" fontId="2" fillId="6" borderId="0" xfId="0" applyFont="1" applyFill="1" applyAlignment="1">
      <alignment horizontal="center" vertical="center"/>
    </xf>
    <xf numFmtId="0" fontId="6" fillId="6" borderId="0" xfId="0" applyFont="1" applyFill="1"/>
    <xf numFmtId="0" fontId="0" fillId="5" borderId="2" xfId="0" applyFill="1" applyBorder="1"/>
    <xf numFmtId="0" fontId="0" fillId="6" borderId="2" xfId="0" applyFill="1" applyBorder="1" applyAlignment="1">
      <alignment horizontal="left"/>
    </xf>
    <xf numFmtId="0" fontId="0" fillId="6" borderId="2" xfId="0" applyFill="1" applyBorder="1"/>
    <xf numFmtId="0" fontId="0" fillId="5" borderId="2" xfId="0" applyFill="1" applyBorder="1" applyAlignment="1">
      <alignment horizontal="left"/>
    </xf>
    <xf numFmtId="0" fontId="0" fillId="8" borderId="7" xfId="0" applyFill="1" applyBorder="1" applyAlignment="1">
      <alignment horizontal="center" vertical="center"/>
    </xf>
    <xf numFmtId="0" fontId="0" fillId="6" borderId="0" xfId="0" applyFill="1" applyAlignment="1">
      <alignment wrapText="1"/>
    </xf>
    <xf numFmtId="0" fontId="0" fillId="0" borderId="11" xfId="0" applyBorder="1"/>
    <xf numFmtId="0" fontId="0" fillId="0" borderId="0" xfId="0" applyAlignment="1">
      <alignment horizontal="center" vertical="center"/>
    </xf>
    <xf numFmtId="0" fontId="0" fillId="7" borderId="10" xfId="0" applyFill="1" applyBorder="1" applyAlignment="1">
      <alignment horizontal="center" vertical="center"/>
    </xf>
    <xf numFmtId="0" fontId="0" fillId="0" borderId="13" xfId="0" applyBorder="1"/>
    <xf numFmtId="0" fontId="0" fillId="0" borderId="14" xfId="0" applyBorder="1" applyAlignment="1">
      <alignment wrapText="1"/>
    </xf>
    <xf numFmtId="0" fontId="0" fillId="0" borderId="15" xfId="0" applyBorder="1"/>
    <xf numFmtId="0" fontId="0" fillId="6" borderId="12" xfId="0" applyFill="1" applyBorder="1" applyAlignment="1">
      <alignment horizontal="center" vertical="center"/>
    </xf>
    <xf numFmtId="0" fontId="0" fillId="0" borderId="12" xfId="0" applyBorder="1"/>
    <xf numFmtId="0" fontId="0" fillId="6" borderId="12" xfId="0" applyFill="1" applyBorder="1"/>
    <xf numFmtId="0" fontId="0" fillId="0" borderId="16" xfId="0" applyBorder="1"/>
    <xf numFmtId="0" fontId="0" fillId="6" borderId="17" xfId="0" applyFill="1" applyBorder="1"/>
    <xf numFmtId="0" fontId="0" fillId="6" borderId="19" xfId="0" applyFill="1" applyBorder="1"/>
    <xf numFmtId="0" fontId="0" fillId="0" borderId="18" xfId="0" applyBorder="1"/>
    <xf numFmtId="0" fontId="0" fillId="6" borderId="8" xfId="0" applyFill="1" applyBorder="1" applyAlignment="1">
      <alignment horizontal="left" vertical="center" wrapText="1"/>
    </xf>
    <xf numFmtId="0" fontId="0" fillId="0" borderId="0" xfId="0" applyAlignment="1">
      <alignment horizontal="left" wrapText="1"/>
    </xf>
    <xf numFmtId="0" fontId="0" fillId="6" borderId="8" xfId="0" applyFill="1" applyBorder="1" applyAlignment="1">
      <alignment horizontal="left"/>
    </xf>
    <xf numFmtId="0" fontId="0" fillId="6" borderId="9" xfId="0" applyFill="1" applyBorder="1" applyAlignment="1">
      <alignment horizontal="left" vertical="center" wrapText="1"/>
    </xf>
    <xf numFmtId="0" fontId="0" fillId="6" borderId="9" xfId="0" applyFill="1" applyBorder="1" applyAlignment="1">
      <alignment horizontal="left"/>
    </xf>
    <xf numFmtId="0" fontId="0" fillId="7" borderId="20" xfId="0" applyFill="1" applyBorder="1" applyAlignment="1">
      <alignment horizontal="center" vertical="center"/>
    </xf>
    <xf numFmtId="0" fontId="0" fillId="0" borderId="2" xfId="0" applyBorder="1" applyAlignment="1">
      <alignment horizontal="center"/>
    </xf>
    <xf numFmtId="9" fontId="0" fillId="0" borderId="2" xfId="2" applyFont="1" applyBorder="1" applyAlignment="1">
      <alignment horizontal="center" wrapText="1"/>
    </xf>
    <xf numFmtId="0" fontId="0" fillId="0" borderId="2" xfId="0" applyBorder="1" applyAlignment="1">
      <alignment horizontal="center" wrapText="1"/>
    </xf>
    <xf numFmtId="0" fontId="2" fillId="5" borderId="2" xfId="0" applyFont="1" applyFill="1" applyBorder="1" applyAlignment="1">
      <alignment horizontal="center"/>
    </xf>
    <xf numFmtId="165" fontId="0" fillId="0" borderId="2" xfId="1" applyNumberFormat="1" applyFont="1" applyBorder="1" applyAlignment="1">
      <alignment horizontal="center" wrapText="1"/>
    </xf>
  </cellXfs>
  <cellStyles count="3">
    <cellStyle name="Comma" xfId="1" builtinId="3"/>
    <cellStyle name="Normal" xfId="0" builtinId="0"/>
    <cellStyle name="Percent" xfId="2" builtinId="5"/>
  </cellStyles>
  <dxfs count="124">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164" formatCode="yyyy\-mm\-dd"/>
    </dxf>
    <dxf>
      <font>
        <b/>
        <i val="0"/>
        <strike val="0"/>
        <condense val="0"/>
        <extend val="0"/>
        <outline val="0"/>
        <shadow val="0"/>
        <u val="none"/>
        <vertAlign val="baseline"/>
        <sz val="11"/>
        <color auto="1"/>
        <name val="Calibri"/>
        <scheme val="none"/>
      </font>
    </dxf>
    <dxf>
      <numFmt numFmtId="164" formatCode="yyyy\-mm\-dd"/>
    </dxf>
    <dxf>
      <numFmt numFmtId="164" formatCode="yyyy\-mm\-dd"/>
    </dxf>
    <dxf>
      <numFmt numFmtId="164" formatCode="yyyy\-mm\-dd"/>
    </dxf>
    <dxf>
      <font>
        <b/>
        <i val="0"/>
        <strike val="0"/>
        <condense val="0"/>
        <extend val="0"/>
        <outline val="0"/>
        <shadow val="0"/>
        <u val="none"/>
        <vertAlign val="baseline"/>
        <sz val="11"/>
        <color auto="1"/>
        <name val="Calibri"/>
        <scheme val="none"/>
      </font>
    </dxf>
  </dxfs>
  <tableStyles count="0" defaultTableStyle="TableStyleMedium9" defaultPivotStyle="PivotStyleLight16"/>
  <colors>
    <mruColors>
      <color rgb="FFE8D7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[Data_Analyst_Intern_Assesment.xlsx]Pivot Tables!PivotTable6</c:name>
    <c:fmtId val="4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099331419173497E-2"/>
          <c:y val="0.17947153957629183"/>
          <c:w val="0.87191662083955268"/>
          <c:h val="0.68049709529161517"/>
        </c:manualLayout>
      </c:layout>
      <c:bar3DChart>
        <c:barDir val="col"/>
        <c:grouping val="clustered"/>
        <c:varyColors val="0"/>
        <c:ser>
          <c:idx val="0"/>
          <c:order val="0"/>
          <c:tx>
            <c:strRef>
              <c:f>'Pivot Tables'!$G$3</c:f>
              <c:strCache>
                <c:ptCount val="1"/>
                <c:pt idx="0">
                  <c:v>Total</c:v>
                </c:pt>
              </c:strCache>
            </c:strRef>
          </c:tx>
          <c:spPr>
            <a:solidFill>
              <a:schemeClr val="accent1"/>
            </a:solidFill>
            <a:ln>
              <a:noFill/>
            </a:ln>
            <a:effectLst/>
            <a:sp3d/>
          </c:spPr>
          <c:invertIfNegative val="0"/>
          <c:cat>
            <c:strRef>
              <c:f>'Pivot Tables'!$F$4:$F$7</c:f>
              <c:strCache>
                <c:ptCount val="3"/>
                <c:pt idx="0">
                  <c:v>Mumbai</c:v>
                </c:pt>
                <c:pt idx="1">
                  <c:v>Bangalore</c:v>
                </c:pt>
                <c:pt idx="2">
                  <c:v>Pune</c:v>
                </c:pt>
              </c:strCache>
            </c:strRef>
          </c:cat>
          <c:val>
            <c:numRef>
              <c:f>'Pivot Tables'!$G$4:$G$7</c:f>
              <c:numCache>
                <c:formatCode>General</c:formatCode>
                <c:ptCount val="3"/>
                <c:pt idx="0">
                  <c:v>1515199</c:v>
                </c:pt>
                <c:pt idx="1">
                  <c:v>471000</c:v>
                </c:pt>
                <c:pt idx="2">
                  <c:v>459199</c:v>
                </c:pt>
              </c:numCache>
            </c:numRef>
          </c:val>
          <c:extLst>
            <c:ext xmlns:c16="http://schemas.microsoft.com/office/drawing/2014/chart" uri="{C3380CC4-5D6E-409C-BE32-E72D297353CC}">
              <c16:uniqueId val="{00000000-52B7-4928-A64B-9A2FC5B4C085}"/>
            </c:ext>
          </c:extLst>
        </c:ser>
        <c:dLbls>
          <c:showLegendKey val="0"/>
          <c:showVal val="0"/>
          <c:showCatName val="0"/>
          <c:showSerName val="0"/>
          <c:showPercent val="0"/>
          <c:showBubbleSize val="0"/>
        </c:dLbls>
        <c:gapWidth val="150"/>
        <c:shape val="box"/>
        <c:axId val="1686272799"/>
        <c:axId val="1686273279"/>
        <c:axId val="0"/>
      </c:bar3DChart>
      <c:catAx>
        <c:axId val="168627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273279"/>
        <c:crosses val="autoZero"/>
        <c:auto val="1"/>
        <c:lblAlgn val="ctr"/>
        <c:lblOffset val="100"/>
        <c:noMultiLvlLbl val="0"/>
      </c:catAx>
      <c:valAx>
        <c:axId val="168627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27279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[Data_Analyst_Intern_Assesment.xlsx]Pivot Tables!PivotTable5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59451990350872"/>
          <c:y val="0.24740824113415022"/>
          <c:w val="0.79805719801066777"/>
          <c:h val="0.53891420633437903"/>
        </c:manualLayout>
      </c:layout>
      <c:bar3DChart>
        <c:barDir val="col"/>
        <c:grouping val="clustered"/>
        <c:varyColors val="0"/>
        <c:ser>
          <c:idx val="0"/>
          <c:order val="0"/>
          <c:tx>
            <c:strRef>
              <c:f>'Pivot Tables'!$D$3</c:f>
              <c:strCache>
                <c:ptCount val="1"/>
                <c:pt idx="0">
                  <c:v>Total</c:v>
                </c:pt>
              </c:strCache>
            </c:strRef>
          </c:tx>
          <c:spPr>
            <a:solidFill>
              <a:schemeClr val="accent1"/>
            </a:solidFill>
            <a:ln>
              <a:noFill/>
            </a:ln>
            <a:effectLst/>
            <a:sp3d/>
          </c:spPr>
          <c:invertIfNegative val="0"/>
          <c:cat>
            <c:strRef>
              <c:f>'Pivot Tables'!$C$4:$C$8</c:f>
              <c:strCache>
                <c:ptCount val="4"/>
                <c:pt idx="0">
                  <c:v>Alpha House</c:v>
                </c:pt>
                <c:pt idx="1">
                  <c:v>Gamma Residency</c:v>
                </c:pt>
                <c:pt idx="2">
                  <c:v>Beta Living</c:v>
                </c:pt>
                <c:pt idx="3">
                  <c:v>Delta Stay</c:v>
                </c:pt>
              </c:strCache>
            </c:strRef>
          </c:cat>
          <c:val>
            <c:numRef>
              <c:f>'Pivot Tables'!$D$4:$D$8</c:f>
              <c:numCache>
                <c:formatCode>General</c:formatCode>
                <c:ptCount val="4"/>
                <c:pt idx="0">
                  <c:v>677199</c:v>
                </c:pt>
                <c:pt idx="1">
                  <c:v>674000</c:v>
                </c:pt>
                <c:pt idx="2">
                  <c:v>552199</c:v>
                </c:pt>
                <c:pt idx="3">
                  <c:v>542000</c:v>
                </c:pt>
              </c:numCache>
            </c:numRef>
          </c:val>
          <c:extLst>
            <c:ext xmlns:c16="http://schemas.microsoft.com/office/drawing/2014/chart" uri="{C3380CC4-5D6E-409C-BE32-E72D297353CC}">
              <c16:uniqueId val="{00000000-A1CB-49FF-9163-C1CEA8ADFB08}"/>
            </c:ext>
          </c:extLst>
        </c:ser>
        <c:dLbls>
          <c:showLegendKey val="0"/>
          <c:showVal val="0"/>
          <c:showCatName val="0"/>
          <c:showSerName val="0"/>
          <c:showPercent val="0"/>
          <c:showBubbleSize val="0"/>
        </c:dLbls>
        <c:gapWidth val="150"/>
        <c:shape val="box"/>
        <c:axId val="1686290559"/>
        <c:axId val="1686285759"/>
        <c:axId val="0"/>
      </c:bar3DChart>
      <c:catAx>
        <c:axId val="168629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285759"/>
        <c:crosses val="autoZero"/>
        <c:auto val="1"/>
        <c:lblAlgn val="ctr"/>
        <c:lblOffset val="100"/>
        <c:noMultiLvlLbl val="0"/>
      </c:catAx>
      <c:valAx>
        <c:axId val="168628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290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[Data_Analyst_Intern_Assesment.xlsx]Pivot Tables!PivotTable8</c:name>
    <c:fmtId val="10"/>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362269088796788E-3"/>
          <c:y val="0.18404892096821232"/>
          <c:w val="0.86010325466993687"/>
          <c:h val="0.81595107903178765"/>
        </c:manualLayout>
      </c:layout>
      <c:pie3DChart>
        <c:varyColors val="1"/>
        <c:ser>
          <c:idx val="0"/>
          <c:order val="0"/>
          <c:tx>
            <c:strRef>
              <c:f>'Pivot Tables'!$G$10</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68B-497E-96C5-3AA72B9ACDD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68B-497E-96C5-3AA72B9ACDD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68B-497E-96C5-3AA72B9ACDD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68B-497E-96C5-3AA72B9ACD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Tables'!$F$11:$F$15</c:f>
              <c:strCache>
                <c:ptCount val="4"/>
                <c:pt idx="0">
                  <c:v>Website</c:v>
                </c:pt>
                <c:pt idx="1">
                  <c:v>Walk-in</c:v>
                </c:pt>
                <c:pt idx="2">
                  <c:v>Referral</c:v>
                </c:pt>
                <c:pt idx="3">
                  <c:v>Partner</c:v>
                </c:pt>
              </c:strCache>
            </c:strRef>
          </c:cat>
          <c:val>
            <c:numRef>
              <c:f>'Pivot Tables'!$G$11:$G$15</c:f>
              <c:numCache>
                <c:formatCode>General</c:formatCode>
                <c:ptCount val="4"/>
                <c:pt idx="0">
                  <c:v>53</c:v>
                </c:pt>
                <c:pt idx="1">
                  <c:v>52</c:v>
                </c:pt>
                <c:pt idx="2">
                  <c:v>50</c:v>
                </c:pt>
                <c:pt idx="3">
                  <c:v>45</c:v>
                </c:pt>
              </c:numCache>
            </c:numRef>
          </c:val>
          <c:extLst>
            <c:ext xmlns:c16="http://schemas.microsoft.com/office/drawing/2014/chart" uri="{C3380CC4-5D6E-409C-BE32-E72D297353CC}">
              <c16:uniqueId val="{00000008-368B-497E-96C5-3AA72B9ACDD1}"/>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2612537796841157"/>
          <c:y val="0.448494094488189"/>
          <c:w val="0.142877474928464"/>
          <c:h val="0.4816203703703703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166245</xdr:colOff>
      <xdr:row>9</xdr:row>
      <xdr:rowOff>144400</xdr:rowOff>
    </xdr:from>
    <xdr:to>
      <xdr:col>5</xdr:col>
      <xdr:colOff>582706</xdr:colOff>
      <xdr:row>29</xdr:row>
      <xdr:rowOff>78440</xdr:rowOff>
    </xdr:to>
    <xdr:graphicFrame macro="">
      <xdr:nvGraphicFramePr>
        <xdr:cNvPr id="2" name="Chart 1">
          <a:extLst>
            <a:ext uri="{FF2B5EF4-FFF2-40B4-BE49-F238E27FC236}">
              <a16:creationId xmlns:a16="http://schemas.microsoft.com/office/drawing/2014/main" id="{F400AF3C-7D0F-4B8A-9FE4-57A36FA69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781319</xdr:colOff>
      <xdr:row>9</xdr:row>
      <xdr:rowOff>163210</xdr:rowOff>
    </xdr:from>
    <xdr:to>
      <xdr:col>14</xdr:col>
      <xdr:colOff>392205</xdr:colOff>
      <xdr:row>29</xdr:row>
      <xdr:rowOff>67235</xdr:rowOff>
    </xdr:to>
    <xdr:graphicFrame macro="">
      <xdr:nvGraphicFramePr>
        <xdr:cNvPr id="3" name="Chart 2">
          <a:extLst>
            <a:ext uri="{FF2B5EF4-FFF2-40B4-BE49-F238E27FC236}">
              <a16:creationId xmlns:a16="http://schemas.microsoft.com/office/drawing/2014/main" id="{320C98ED-099D-47F7-B0E9-00850757C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255498</xdr:colOff>
      <xdr:row>32</xdr:row>
      <xdr:rowOff>80235</xdr:rowOff>
    </xdr:from>
    <xdr:to>
      <xdr:col>13</xdr:col>
      <xdr:colOff>271634</xdr:colOff>
      <xdr:row>41</xdr:row>
      <xdr:rowOff>168089</xdr:rowOff>
    </xdr:to>
    <mc:AlternateContent xmlns:mc="http://schemas.openxmlformats.org/markup-compatibility/2006" xmlns:a14="http://schemas.microsoft.com/office/drawing/2010/main">
      <mc:Choice Requires="a14">
        <xdr:graphicFrame macro="">
          <xdr:nvGraphicFramePr>
            <xdr:cNvPr id="5" name="Booking Source 1">
              <a:extLst>
                <a:ext uri="{FF2B5EF4-FFF2-40B4-BE49-F238E27FC236}">
                  <a16:creationId xmlns:a16="http://schemas.microsoft.com/office/drawing/2014/main" id="{2C2AD21E-45CA-4866-BDAC-FA401CA33EF8}"/>
                </a:ext>
              </a:extLst>
            </xdr:cNvPr>
            <xdr:cNvGraphicFramePr/>
          </xdr:nvGraphicFramePr>
          <xdr:xfrm>
            <a:off x="0" y="0"/>
            <a:ext cx="0" cy="0"/>
          </xdr:xfrm>
          <a:graphic>
            <a:graphicData uri="http://schemas.microsoft.com/office/drawing/2010/slicer">
              <sle:slicer xmlns:sle="http://schemas.microsoft.com/office/drawing/2010/slicer" name="Booking Source 1"/>
            </a:graphicData>
          </a:graphic>
        </xdr:graphicFrame>
      </mc:Choice>
      <mc:Fallback xmlns="">
        <xdr:sp macro="" textlink="">
          <xdr:nvSpPr>
            <xdr:cNvPr id="0" name=""/>
            <xdr:cNvSpPr>
              <a:spLocks noTextEdit="1"/>
            </xdr:cNvSpPr>
          </xdr:nvSpPr>
          <xdr:spPr>
            <a:xfrm>
              <a:off x="9516729" y="5795235"/>
              <a:ext cx="1862520" cy="1670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457649</xdr:colOff>
      <xdr:row>32</xdr:row>
      <xdr:rowOff>92786</xdr:rowOff>
    </xdr:from>
    <xdr:to>
      <xdr:col>9</xdr:col>
      <xdr:colOff>571500</xdr:colOff>
      <xdr:row>41</xdr:row>
      <xdr:rowOff>123265</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0900AE7D-D722-4D1A-8B65-F70D97C7EE5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257034" y="5807786"/>
              <a:ext cx="1960235" cy="1613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133477</xdr:colOff>
      <xdr:row>3</xdr:row>
      <xdr:rowOff>143121</xdr:rowOff>
    </xdr:from>
    <xdr:to>
      <xdr:col>2</xdr:col>
      <xdr:colOff>17732</xdr:colOff>
      <xdr:row>8</xdr:row>
      <xdr:rowOff>152768</xdr:rowOff>
    </xdr:to>
    <xdr:sp macro="" textlink="">
      <xdr:nvSpPr>
        <xdr:cNvPr id="8" name="Rectangle: Rounded Corners 7">
          <a:extLst>
            <a:ext uri="{FF2B5EF4-FFF2-40B4-BE49-F238E27FC236}">
              <a16:creationId xmlns:a16="http://schemas.microsoft.com/office/drawing/2014/main" id="{CDDF55AE-782B-9D04-843D-4A65AAE76593}"/>
            </a:ext>
          </a:extLst>
        </xdr:cNvPr>
        <xdr:cNvSpPr/>
      </xdr:nvSpPr>
      <xdr:spPr>
        <a:xfrm>
          <a:off x="133477" y="1050797"/>
          <a:ext cx="2103020" cy="995765"/>
        </a:xfrm>
        <a:prstGeom prst="roundRect">
          <a:avLst/>
        </a:prstGeom>
        <a:solidFill>
          <a:schemeClr val="tx2">
            <a:lumMod val="20000"/>
            <a:lumOff val="8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2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800"/>
            <a:t>                      </a:t>
          </a:r>
          <a:r>
            <a:rPr lang="en-IN" sz="2800" b="1" i="0" u="none" strike="noStrike">
              <a:solidFill>
                <a:schemeClr val="tx1"/>
              </a:solidFill>
              <a:effectLst/>
              <a:latin typeface="+mn-lt"/>
              <a:ea typeface="+mn-ea"/>
              <a:cs typeface="+mn-cs"/>
            </a:rPr>
            <a:t>200</a:t>
          </a:r>
          <a:r>
            <a:rPr lang="en-IN" sz="2800" b="0" i="0" u="none" strike="noStrike">
              <a:solidFill>
                <a:schemeClr val="lt1"/>
              </a:solidFill>
              <a:effectLst/>
              <a:latin typeface="+mn-lt"/>
              <a:ea typeface="+mn-ea"/>
              <a:cs typeface="+mn-cs"/>
            </a:rPr>
            <a:t> </a:t>
          </a:r>
        </a:p>
        <a:p>
          <a:pPr algn="l"/>
          <a:r>
            <a:rPr lang="en-IN" sz="1100"/>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rPr>
            <a:t>          </a:t>
          </a:r>
          <a:r>
            <a:rPr lang="en-IN" sz="1200" b="1" i="0">
              <a:solidFill>
                <a:schemeClr val="tx1"/>
              </a:solidFill>
              <a:effectLst/>
              <a:latin typeface="+mn-lt"/>
              <a:ea typeface="+mn-ea"/>
              <a:cs typeface="+mn-cs"/>
            </a:rPr>
            <a:t> </a:t>
          </a:r>
          <a:endParaRPr lang="en-IN" sz="1200">
            <a:solidFill>
              <a:schemeClr val="tx1"/>
            </a:solidFill>
            <a:effectLst/>
          </a:endParaRPr>
        </a:p>
        <a:p>
          <a:pPr algn="l"/>
          <a:r>
            <a:rPr lang="en-IN" sz="1100"/>
            <a:t>     </a:t>
          </a:r>
        </a:p>
      </xdr:txBody>
    </xdr:sp>
    <xdr:clientData/>
  </xdr:twoCellAnchor>
  <xdr:twoCellAnchor editAs="oneCell">
    <xdr:from>
      <xdr:col>0</xdr:col>
      <xdr:colOff>347242</xdr:colOff>
      <xdr:row>3</xdr:row>
      <xdr:rowOff>163976</xdr:rowOff>
    </xdr:from>
    <xdr:to>
      <xdr:col>0</xdr:col>
      <xdr:colOff>1012786</xdr:colOff>
      <xdr:row>7</xdr:row>
      <xdr:rowOff>9646</xdr:rowOff>
    </xdr:to>
    <xdr:pic>
      <xdr:nvPicPr>
        <xdr:cNvPr id="12" name="Picture 11">
          <a:extLst>
            <a:ext uri="{FF2B5EF4-FFF2-40B4-BE49-F238E27FC236}">
              <a16:creationId xmlns:a16="http://schemas.microsoft.com/office/drawing/2014/main" id="{0DBB3329-B5A0-76AA-1987-7DD7482722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7242" y="1080305"/>
          <a:ext cx="665544" cy="665544"/>
        </a:xfrm>
        <a:prstGeom prst="rect">
          <a:avLst/>
        </a:prstGeom>
      </xdr:spPr>
    </xdr:pic>
    <xdr:clientData/>
  </xdr:twoCellAnchor>
  <xdr:oneCellAnchor>
    <xdr:from>
      <xdr:col>2</xdr:col>
      <xdr:colOff>917219</xdr:colOff>
      <xdr:row>11</xdr:row>
      <xdr:rowOff>148872</xdr:rowOff>
    </xdr:from>
    <xdr:ext cx="184731" cy="264560"/>
    <xdr:sp macro="" textlink="">
      <xdr:nvSpPr>
        <xdr:cNvPr id="13" name="TextBox 12">
          <a:extLst>
            <a:ext uri="{FF2B5EF4-FFF2-40B4-BE49-F238E27FC236}">
              <a16:creationId xmlns:a16="http://schemas.microsoft.com/office/drawing/2014/main" id="{C1122327-6DD0-B394-E5DD-04191F986665}"/>
            </a:ext>
          </a:extLst>
        </xdr:cNvPr>
        <xdr:cNvSpPr txBox="1"/>
      </xdr:nvSpPr>
      <xdr:spPr>
        <a:xfrm>
          <a:off x="3143061" y="25952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231493</xdr:colOff>
      <xdr:row>3</xdr:row>
      <xdr:rowOff>154329</xdr:rowOff>
    </xdr:from>
    <xdr:to>
      <xdr:col>4</xdr:col>
      <xdr:colOff>106102</xdr:colOff>
      <xdr:row>8</xdr:row>
      <xdr:rowOff>163976</xdr:rowOff>
    </xdr:to>
    <xdr:sp macro="" textlink="">
      <xdr:nvSpPr>
        <xdr:cNvPr id="15" name="Rectangle: Rounded Corners 14">
          <a:extLst>
            <a:ext uri="{FF2B5EF4-FFF2-40B4-BE49-F238E27FC236}">
              <a16:creationId xmlns:a16="http://schemas.microsoft.com/office/drawing/2014/main" id="{1F5754F5-6AD7-4412-AD48-BC35A18F7512}"/>
            </a:ext>
          </a:extLst>
        </xdr:cNvPr>
        <xdr:cNvSpPr/>
      </xdr:nvSpPr>
      <xdr:spPr>
        <a:xfrm>
          <a:off x="2440328" y="1070658"/>
          <a:ext cx="2093090" cy="1012786"/>
        </a:xfrm>
        <a:prstGeom prst="roundRect">
          <a:avLst/>
        </a:prstGeom>
        <a:solidFill>
          <a:schemeClr val="accent3">
            <a:lumMod val="20000"/>
            <a:lumOff val="8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i="0" u="none" strike="noStrike" baseline="0">
              <a:solidFill>
                <a:schemeClr val="tx1"/>
              </a:solidFill>
              <a:effectLst/>
              <a:latin typeface="+mn-lt"/>
              <a:ea typeface="+mn-ea"/>
              <a:cs typeface="+mn-cs"/>
            </a:rPr>
            <a:t>                          </a:t>
          </a:r>
          <a:r>
            <a:rPr lang="en-IN" sz="3200" b="1" i="0" u="none" strike="noStrike">
              <a:solidFill>
                <a:schemeClr val="tx1"/>
              </a:solidFill>
              <a:effectLst/>
              <a:latin typeface="+mn-lt"/>
              <a:ea typeface="+mn-ea"/>
              <a:cs typeface="+mn-cs"/>
            </a:rPr>
            <a:t>60%</a:t>
          </a:r>
          <a:r>
            <a:rPr lang="en-IN" sz="3200" b="1" i="0" u="none" strike="noStrike">
              <a:solidFill>
                <a:schemeClr val="lt1"/>
              </a:solidFill>
              <a:effectLst/>
              <a:latin typeface="+mn-lt"/>
              <a:ea typeface="+mn-ea"/>
              <a:cs typeface="+mn-cs"/>
            </a:rPr>
            <a:t> </a:t>
          </a:r>
        </a:p>
        <a:p>
          <a:pPr algn="l"/>
          <a:r>
            <a:rPr lang="en-IN" sz="1100"/>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rPr>
            <a:t>            </a:t>
          </a:r>
          <a:endParaRPr lang="en-IN" sz="1200">
            <a:solidFill>
              <a:schemeClr val="tx1"/>
            </a:solidFill>
            <a:effectLst/>
          </a:endParaRPr>
        </a:p>
        <a:p>
          <a:pPr algn="l"/>
          <a:r>
            <a:rPr lang="en-IN" sz="1100"/>
            <a:t>     </a:t>
          </a:r>
        </a:p>
      </xdr:txBody>
    </xdr:sp>
    <xdr:clientData/>
  </xdr:twoCellAnchor>
  <xdr:twoCellAnchor>
    <xdr:from>
      <xdr:col>4</xdr:col>
      <xdr:colOff>337595</xdr:colOff>
      <xdr:row>3</xdr:row>
      <xdr:rowOff>154329</xdr:rowOff>
    </xdr:from>
    <xdr:to>
      <xdr:col>7</xdr:col>
      <xdr:colOff>20053</xdr:colOff>
      <xdr:row>8</xdr:row>
      <xdr:rowOff>163976</xdr:rowOff>
    </xdr:to>
    <xdr:sp macro="" textlink="">
      <xdr:nvSpPr>
        <xdr:cNvPr id="16" name="Rectangle: Rounded Corners 15">
          <a:extLst>
            <a:ext uri="{FF2B5EF4-FFF2-40B4-BE49-F238E27FC236}">
              <a16:creationId xmlns:a16="http://schemas.microsoft.com/office/drawing/2014/main" id="{C7E8906A-27D1-4D19-B3C3-7D47A2A02A90}"/>
            </a:ext>
          </a:extLst>
        </xdr:cNvPr>
        <xdr:cNvSpPr/>
      </xdr:nvSpPr>
      <xdr:spPr>
        <a:xfrm>
          <a:off x="4779253" y="1066724"/>
          <a:ext cx="2650247" cy="1002252"/>
        </a:xfrm>
        <a:prstGeom prst="roundRect">
          <a:avLst/>
        </a:prstGeom>
        <a:solidFill>
          <a:schemeClr val="accent3">
            <a:lumMod val="20000"/>
            <a:lumOff val="8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2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tx1"/>
              </a:solidFill>
            </a:rPr>
            <a:t>             </a:t>
          </a:r>
          <a:r>
            <a:rPr lang="en-IN" sz="1200" b="1" i="0" u="none" strike="noStrike">
              <a:solidFill>
                <a:schemeClr val="tx1"/>
              </a:solidFill>
              <a:effectLst/>
              <a:latin typeface="+mn-lt"/>
              <a:ea typeface="+mn-ea"/>
              <a:cs typeface="+mn-cs"/>
            </a:rPr>
            <a:t>          </a:t>
          </a:r>
          <a:r>
            <a:rPr lang="en-IN" sz="1800" b="1" i="0">
              <a:solidFill>
                <a:schemeClr val="tx1"/>
              </a:solidFill>
              <a:effectLst/>
              <a:latin typeface="+mn-lt"/>
              <a:ea typeface="+mn-ea"/>
              <a:cs typeface="+mn-cs"/>
            </a:rPr>
            <a:t>₹</a:t>
          </a:r>
          <a:r>
            <a:rPr lang="en-IN" sz="1800" b="1" i="0" u="none" strike="noStrike">
              <a:solidFill>
                <a:schemeClr val="tx1"/>
              </a:solidFill>
              <a:effectLst/>
              <a:latin typeface="+mn-lt"/>
              <a:ea typeface="+mn-ea"/>
              <a:cs typeface="+mn-cs"/>
            </a:rPr>
            <a:t>  24,45,398.00 </a:t>
          </a:r>
          <a:r>
            <a:rPr lang="en-IN" sz="1800" b="0" i="0" u="none" strike="noStrike">
              <a:solidFill>
                <a:schemeClr val="tx1"/>
              </a:solidFill>
              <a:effectLst/>
              <a:latin typeface="+mn-lt"/>
              <a:ea typeface="+mn-ea"/>
              <a:cs typeface="+mn-cs"/>
            </a:rPr>
            <a:t> </a:t>
          </a:r>
        </a:p>
        <a:p>
          <a:pPr algn="l"/>
          <a:r>
            <a:rPr lang="en-IN" sz="1100"/>
            <a:t>             </a:t>
          </a:r>
          <a:r>
            <a:rPr lang="en-IN" sz="1100" baseline="0"/>
            <a:t>  </a:t>
          </a:r>
        </a:p>
        <a:p>
          <a:pPr algn="l"/>
          <a:r>
            <a:rPr lang="en-IN" sz="1100" baseline="0">
              <a:solidFill>
                <a:schemeClr val="tx1"/>
              </a:solidFill>
            </a:rPr>
            <a:t>               </a:t>
          </a:r>
          <a:r>
            <a:rPr lang="en-IN" sz="1200">
              <a:solidFill>
                <a:schemeClr val="tx1"/>
              </a:solidFill>
            </a:rPr>
            <a:t>  </a:t>
          </a:r>
          <a:r>
            <a:rPr lang="en-IN" sz="1200" baseline="0">
              <a:solidFill>
                <a:schemeClr val="tx1"/>
              </a:solidFill>
            </a:rPr>
            <a:t> </a:t>
          </a:r>
          <a:r>
            <a:rPr lang="en-IN" sz="1200">
              <a:solidFill>
                <a:schemeClr val="tx1"/>
              </a:solidFill>
            </a:rPr>
            <a:t> </a:t>
          </a:r>
          <a:endParaRPr lang="en-IN" sz="1400">
            <a:solidFill>
              <a:schemeClr val="tx1"/>
            </a:solidFill>
            <a:effectLst/>
          </a:endParaRPr>
        </a:p>
        <a:p>
          <a:pPr algn="l"/>
          <a:r>
            <a:rPr lang="en-IN" sz="1100"/>
            <a:t>     </a:t>
          </a:r>
        </a:p>
      </xdr:txBody>
    </xdr:sp>
    <xdr:clientData/>
  </xdr:twoCellAnchor>
  <xdr:twoCellAnchor>
    <xdr:from>
      <xdr:col>11</xdr:col>
      <xdr:colOff>103909</xdr:colOff>
      <xdr:row>3</xdr:row>
      <xdr:rowOff>150091</xdr:rowOff>
    </xdr:from>
    <xdr:to>
      <xdr:col>14</xdr:col>
      <xdr:colOff>373987</xdr:colOff>
      <xdr:row>8</xdr:row>
      <xdr:rowOff>165730</xdr:rowOff>
    </xdr:to>
    <xdr:sp macro="" textlink="">
      <xdr:nvSpPr>
        <xdr:cNvPr id="18" name="Rectangle: Rounded Corners 17">
          <a:extLst>
            <a:ext uri="{FF2B5EF4-FFF2-40B4-BE49-F238E27FC236}">
              <a16:creationId xmlns:a16="http://schemas.microsoft.com/office/drawing/2014/main" id="{2D61C6F8-C916-47B8-B6D9-73D435A56ACD}"/>
            </a:ext>
          </a:extLst>
        </xdr:cNvPr>
        <xdr:cNvSpPr/>
      </xdr:nvSpPr>
      <xdr:spPr>
        <a:xfrm>
          <a:off x="9398000" y="1073727"/>
          <a:ext cx="2105805" cy="1020094"/>
        </a:xfrm>
        <a:prstGeom prst="roundRect">
          <a:avLst/>
        </a:prstGeom>
        <a:solidFill>
          <a:schemeClr val="accent6">
            <a:lumMod val="40000"/>
            <a:lumOff val="60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i="0" u="none" strike="noStrike" baseline="0">
              <a:solidFill>
                <a:schemeClr val="tx1"/>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i="0" u="none" strike="noStrike" baseline="0">
              <a:solidFill>
                <a:schemeClr val="tx1"/>
              </a:solidFill>
              <a:effectLst/>
              <a:latin typeface="+mn-lt"/>
              <a:ea typeface="+mn-ea"/>
              <a:cs typeface="+mn-cs"/>
            </a:rPr>
            <a:t>                   </a:t>
          </a:r>
          <a:r>
            <a:rPr lang="en-IN" sz="2800" b="1" i="0" u="none" strike="noStrike">
              <a:solidFill>
                <a:schemeClr val="tx1"/>
              </a:solidFill>
              <a:effectLst/>
              <a:latin typeface="+mn-lt"/>
              <a:ea typeface="+mn-ea"/>
              <a:cs typeface="+mn-cs"/>
            </a:rPr>
            <a:t>111</a:t>
          </a:r>
          <a:r>
            <a:rPr lang="en-IN" sz="2800" b="0" i="0" u="none" strike="noStrike">
              <a:solidFill>
                <a:schemeClr val="lt1"/>
              </a:solidFill>
              <a:effectLst/>
              <a:latin typeface="+mn-lt"/>
              <a:ea typeface="+mn-ea"/>
              <a:cs typeface="+mn-cs"/>
            </a:rPr>
            <a:t> </a:t>
          </a:r>
        </a:p>
        <a:p>
          <a:pPr algn="l"/>
          <a:r>
            <a:rPr lang="en-IN" sz="1100"/>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rPr>
            <a:t>            </a:t>
          </a:r>
          <a:endParaRPr lang="en-IN" sz="1200">
            <a:solidFill>
              <a:schemeClr val="tx1"/>
            </a:solidFill>
            <a:effectLst/>
          </a:endParaRPr>
        </a:p>
        <a:p>
          <a:pPr algn="l"/>
          <a:r>
            <a:rPr lang="en-IN" sz="1100"/>
            <a:t>     </a:t>
          </a:r>
        </a:p>
      </xdr:txBody>
    </xdr:sp>
    <xdr:clientData/>
  </xdr:twoCellAnchor>
  <xdr:twoCellAnchor>
    <xdr:from>
      <xdr:col>7</xdr:col>
      <xdr:colOff>250786</xdr:colOff>
      <xdr:row>3</xdr:row>
      <xdr:rowOff>154329</xdr:rowOff>
    </xdr:from>
    <xdr:to>
      <xdr:col>10</xdr:col>
      <xdr:colOff>520863</xdr:colOff>
      <xdr:row>8</xdr:row>
      <xdr:rowOff>163976</xdr:rowOff>
    </xdr:to>
    <xdr:sp macro="" textlink="">
      <xdr:nvSpPr>
        <xdr:cNvPr id="19" name="Rectangle: Rounded Corners 18">
          <a:extLst>
            <a:ext uri="{FF2B5EF4-FFF2-40B4-BE49-F238E27FC236}">
              <a16:creationId xmlns:a16="http://schemas.microsoft.com/office/drawing/2014/main" id="{F0566978-2F6D-4360-8FD5-5A9D7D7391EA}"/>
            </a:ext>
          </a:extLst>
        </xdr:cNvPr>
        <xdr:cNvSpPr/>
      </xdr:nvSpPr>
      <xdr:spPr>
        <a:xfrm>
          <a:off x="7099140" y="1070658"/>
          <a:ext cx="2093090" cy="1012786"/>
        </a:xfrm>
        <a:prstGeom prst="roundRect">
          <a:avLst/>
        </a:prstGeom>
        <a:solidFill>
          <a:srgbClr val="E8D7D0"/>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2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600"/>
            <a:t>                      </a:t>
          </a:r>
          <a:r>
            <a:rPr lang="en-IN" sz="2800" b="1" i="0" u="none" strike="noStrike">
              <a:solidFill>
                <a:schemeClr val="tx1"/>
              </a:solidFill>
              <a:effectLst/>
              <a:latin typeface="+mn-lt"/>
              <a:ea typeface="+mn-ea"/>
              <a:cs typeface="+mn-cs"/>
            </a:rPr>
            <a:t>125</a:t>
          </a:r>
          <a:r>
            <a:rPr lang="en-IN" sz="2800" b="0" i="0" u="none" strike="noStrike">
              <a:solidFill>
                <a:schemeClr val="lt1"/>
              </a:solidFill>
              <a:effectLst/>
              <a:latin typeface="+mn-lt"/>
              <a:ea typeface="+mn-ea"/>
              <a:cs typeface="+mn-cs"/>
            </a:rPr>
            <a:t> </a:t>
          </a:r>
        </a:p>
        <a:p>
          <a:pPr algn="l"/>
          <a:r>
            <a:rPr lang="en-IN" sz="1100"/>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tx1"/>
              </a:solidFill>
            </a:rPr>
            <a:t>          </a:t>
          </a:r>
          <a:r>
            <a:rPr lang="en-IN" sz="1200" b="1" baseline="0">
              <a:solidFill>
                <a:schemeClr val="tx1"/>
              </a:solidFill>
            </a:rPr>
            <a:t>   </a:t>
          </a:r>
          <a:endParaRPr lang="en-IN" sz="1200" b="1">
            <a:solidFill>
              <a:schemeClr val="tx1"/>
            </a:solidFill>
            <a:effectLst/>
          </a:endParaRPr>
        </a:p>
        <a:p>
          <a:pPr algn="l"/>
          <a:r>
            <a:rPr lang="en-IN" sz="1100"/>
            <a:t>     </a:t>
          </a:r>
        </a:p>
      </xdr:txBody>
    </xdr:sp>
    <xdr:clientData/>
  </xdr:twoCellAnchor>
  <xdr:twoCellAnchor>
    <xdr:from>
      <xdr:col>0</xdr:col>
      <xdr:colOff>481262</xdr:colOff>
      <xdr:row>6</xdr:row>
      <xdr:rowOff>130341</xdr:rowOff>
    </xdr:from>
    <xdr:to>
      <xdr:col>1</xdr:col>
      <xdr:colOff>641684</xdr:colOff>
      <xdr:row>8</xdr:row>
      <xdr:rowOff>110289</xdr:rowOff>
    </xdr:to>
    <xdr:sp macro="" textlink="">
      <xdr:nvSpPr>
        <xdr:cNvPr id="24" name="TextBox 23">
          <a:extLst>
            <a:ext uri="{FF2B5EF4-FFF2-40B4-BE49-F238E27FC236}">
              <a16:creationId xmlns:a16="http://schemas.microsoft.com/office/drawing/2014/main" id="{A8865CDF-278D-1A4F-E373-AA7894600B05}"/>
            </a:ext>
          </a:extLst>
        </xdr:cNvPr>
        <xdr:cNvSpPr txBox="1"/>
      </xdr:nvSpPr>
      <xdr:spPr>
        <a:xfrm>
          <a:off x="481262" y="1674394"/>
          <a:ext cx="1383633" cy="34089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latin typeface="+mn-lt"/>
              <a:ea typeface="+mn-ea"/>
              <a:cs typeface="+mn-cs"/>
            </a:rPr>
            <a:t>Total</a:t>
          </a:r>
          <a:r>
            <a:rPr lang="en-IN" sz="1400" b="1" baseline="0">
              <a:solidFill>
                <a:schemeClr val="dk1"/>
              </a:solidFill>
              <a:latin typeface="+mn-lt"/>
              <a:ea typeface="+mn-ea"/>
              <a:cs typeface="+mn-cs"/>
            </a:rPr>
            <a:t> Residents</a:t>
          </a:r>
          <a:endParaRPr lang="en-IN" sz="1400" b="1">
            <a:solidFill>
              <a:schemeClr val="dk1"/>
            </a:solidFill>
            <a:latin typeface="+mn-lt"/>
            <a:ea typeface="+mn-ea"/>
            <a:cs typeface="+mn-cs"/>
          </a:endParaRPr>
        </a:p>
      </xdr:txBody>
    </xdr:sp>
    <xdr:clientData/>
  </xdr:twoCellAnchor>
  <xdr:twoCellAnchor>
    <xdr:from>
      <xdr:col>2</xdr:col>
      <xdr:colOff>551448</xdr:colOff>
      <xdr:row>6</xdr:row>
      <xdr:rowOff>110289</xdr:rowOff>
    </xdr:from>
    <xdr:to>
      <xdr:col>3</xdr:col>
      <xdr:colOff>1072815</xdr:colOff>
      <xdr:row>8</xdr:row>
      <xdr:rowOff>100264</xdr:rowOff>
    </xdr:to>
    <xdr:sp macro="" textlink="">
      <xdr:nvSpPr>
        <xdr:cNvPr id="29" name="TextBox 28">
          <a:extLst>
            <a:ext uri="{FF2B5EF4-FFF2-40B4-BE49-F238E27FC236}">
              <a16:creationId xmlns:a16="http://schemas.microsoft.com/office/drawing/2014/main" id="{D12BDB3A-B7CC-46F8-3E33-0565A554E9F1}"/>
            </a:ext>
          </a:extLst>
        </xdr:cNvPr>
        <xdr:cNvSpPr txBox="1"/>
      </xdr:nvSpPr>
      <xdr:spPr>
        <a:xfrm>
          <a:off x="2777290" y="1654342"/>
          <a:ext cx="1523999" cy="350922"/>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Occupancy Rate</a:t>
          </a:r>
        </a:p>
      </xdr:txBody>
    </xdr:sp>
    <xdr:clientData/>
  </xdr:twoCellAnchor>
  <xdr:twoCellAnchor>
    <xdr:from>
      <xdr:col>7</xdr:col>
      <xdr:colOff>541423</xdr:colOff>
      <xdr:row>6</xdr:row>
      <xdr:rowOff>140370</xdr:rowOff>
    </xdr:from>
    <xdr:to>
      <xdr:col>10</xdr:col>
      <xdr:colOff>486579</xdr:colOff>
      <xdr:row>8</xdr:row>
      <xdr:rowOff>80211</xdr:rowOff>
    </xdr:to>
    <xdr:sp macro="" textlink="">
      <xdr:nvSpPr>
        <xdr:cNvPr id="30" name="TextBox 29">
          <a:extLst>
            <a:ext uri="{FF2B5EF4-FFF2-40B4-BE49-F238E27FC236}">
              <a16:creationId xmlns:a16="http://schemas.microsoft.com/office/drawing/2014/main" id="{18137572-3DF7-015B-2C64-F65BD28091AE}"/>
            </a:ext>
          </a:extLst>
        </xdr:cNvPr>
        <xdr:cNvSpPr txBox="1"/>
      </xdr:nvSpPr>
      <xdr:spPr>
        <a:xfrm>
          <a:off x="7950266" y="1691912"/>
          <a:ext cx="1762940" cy="307070"/>
        </a:xfrm>
        <a:prstGeom prst="rect">
          <a:avLst/>
        </a:prstGeom>
        <a:solidFill>
          <a:srgbClr val="E8D7D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Expired Agreements</a:t>
          </a:r>
        </a:p>
      </xdr:txBody>
    </xdr:sp>
    <xdr:clientData/>
  </xdr:twoCellAnchor>
  <xdr:twoCellAnchor>
    <xdr:from>
      <xdr:col>11</xdr:col>
      <xdr:colOff>461212</xdr:colOff>
      <xdr:row>6</xdr:row>
      <xdr:rowOff>150394</xdr:rowOff>
    </xdr:from>
    <xdr:to>
      <xdr:col>14</xdr:col>
      <xdr:colOff>200526</xdr:colOff>
      <xdr:row>8</xdr:row>
      <xdr:rowOff>60158</xdr:rowOff>
    </xdr:to>
    <xdr:sp macro="" textlink="">
      <xdr:nvSpPr>
        <xdr:cNvPr id="31" name="TextBox 30">
          <a:extLst>
            <a:ext uri="{FF2B5EF4-FFF2-40B4-BE49-F238E27FC236}">
              <a16:creationId xmlns:a16="http://schemas.microsoft.com/office/drawing/2014/main" id="{B98737F6-FDD7-E6C5-89B8-DB1EF65C50D3}"/>
            </a:ext>
          </a:extLst>
        </xdr:cNvPr>
        <xdr:cNvSpPr txBox="1"/>
      </xdr:nvSpPr>
      <xdr:spPr>
        <a:xfrm>
          <a:off x="10317080" y="1694447"/>
          <a:ext cx="1574130" cy="27071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Pending</a:t>
          </a:r>
          <a:r>
            <a:rPr lang="en-IN" sz="1400" b="1" baseline="0"/>
            <a:t> Move-Ins</a:t>
          </a:r>
          <a:endParaRPr lang="en-IN" sz="1400" b="1"/>
        </a:p>
      </xdr:txBody>
    </xdr:sp>
    <xdr:clientData/>
  </xdr:twoCellAnchor>
  <xdr:twoCellAnchor>
    <xdr:from>
      <xdr:col>5</xdr:col>
      <xdr:colOff>82626</xdr:colOff>
      <xdr:row>6</xdr:row>
      <xdr:rowOff>100988</xdr:rowOff>
    </xdr:from>
    <xdr:to>
      <xdr:col>6</xdr:col>
      <xdr:colOff>596747</xdr:colOff>
      <xdr:row>8</xdr:row>
      <xdr:rowOff>18361</xdr:rowOff>
    </xdr:to>
    <xdr:sp macro="" textlink="">
      <xdr:nvSpPr>
        <xdr:cNvPr id="32" name="TextBox 31">
          <a:extLst>
            <a:ext uri="{FF2B5EF4-FFF2-40B4-BE49-F238E27FC236}">
              <a16:creationId xmlns:a16="http://schemas.microsoft.com/office/drawing/2014/main" id="{960B491D-1EE4-E6BD-6892-DE4F77B6933E}"/>
            </a:ext>
          </a:extLst>
        </xdr:cNvPr>
        <xdr:cNvSpPr txBox="1"/>
      </xdr:nvSpPr>
      <xdr:spPr>
        <a:xfrm>
          <a:off x="5490072" y="1652530"/>
          <a:ext cx="1909591" cy="284602"/>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Revenue</a:t>
          </a:r>
        </a:p>
      </xdr:txBody>
    </xdr:sp>
    <xdr:clientData/>
  </xdr:twoCellAnchor>
  <xdr:twoCellAnchor editAs="oneCell">
    <xdr:from>
      <xdr:col>2</xdr:col>
      <xdr:colOff>472274</xdr:colOff>
      <xdr:row>4</xdr:row>
      <xdr:rowOff>11204</xdr:rowOff>
    </xdr:from>
    <xdr:to>
      <xdr:col>3</xdr:col>
      <xdr:colOff>81700</xdr:colOff>
      <xdr:row>7</xdr:row>
      <xdr:rowOff>1629</xdr:rowOff>
    </xdr:to>
    <xdr:pic>
      <xdr:nvPicPr>
        <xdr:cNvPr id="34" name="Picture 33">
          <a:extLst>
            <a:ext uri="{FF2B5EF4-FFF2-40B4-BE49-F238E27FC236}">
              <a16:creationId xmlns:a16="http://schemas.microsoft.com/office/drawing/2014/main" id="{2C426F5C-0241-A9DD-2B9F-28ED491E0EC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2691039" y="1098175"/>
          <a:ext cx="617955" cy="617955"/>
        </a:xfrm>
        <a:prstGeom prst="rect">
          <a:avLst/>
        </a:prstGeom>
      </xdr:spPr>
    </xdr:pic>
    <xdr:clientData/>
  </xdr:twoCellAnchor>
  <xdr:twoCellAnchor>
    <xdr:from>
      <xdr:col>0</xdr:col>
      <xdr:colOff>1098177</xdr:colOff>
      <xdr:row>4</xdr:row>
      <xdr:rowOff>112058</xdr:rowOff>
    </xdr:from>
    <xdr:to>
      <xdr:col>1</xdr:col>
      <xdr:colOff>728384</xdr:colOff>
      <xdr:row>7</xdr:row>
      <xdr:rowOff>11206</xdr:rowOff>
    </xdr:to>
    <xdr:sp macro="" textlink="">
      <xdr:nvSpPr>
        <xdr:cNvPr id="35" name="TextBox 34">
          <a:extLst>
            <a:ext uri="{FF2B5EF4-FFF2-40B4-BE49-F238E27FC236}">
              <a16:creationId xmlns:a16="http://schemas.microsoft.com/office/drawing/2014/main" id="{28F43233-3459-415C-6D9F-2AE236BCE3A9}"/>
            </a:ext>
          </a:extLst>
        </xdr:cNvPr>
        <xdr:cNvSpPr txBox="1"/>
      </xdr:nvSpPr>
      <xdr:spPr>
        <a:xfrm>
          <a:off x="1098177" y="1199029"/>
          <a:ext cx="851648" cy="526677"/>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200</a:t>
          </a:r>
        </a:p>
      </xdr:txBody>
    </xdr:sp>
    <xdr:clientData/>
  </xdr:twoCellAnchor>
  <xdr:twoCellAnchor editAs="oneCell">
    <xdr:from>
      <xdr:col>4</xdr:col>
      <xdr:colOff>560295</xdr:colOff>
      <xdr:row>4</xdr:row>
      <xdr:rowOff>168088</xdr:rowOff>
    </xdr:from>
    <xdr:to>
      <xdr:col>5</xdr:col>
      <xdr:colOff>80072</xdr:colOff>
      <xdr:row>7</xdr:row>
      <xdr:rowOff>24041</xdr:rowOff>
    </xdr:to>
    <xdr:pic>
      <xdr:nvPicPr>
        <xdr:cNvPr id="37" name="Picture 36">
          <a:extLst>
            <a:ext uri="{FF2B5EF4-FFF2-40B4-BE49-F238E27FC236}">
              <a16:creationId xmlns:a16="http://schemas.microsoft.com/office/drawing/2014/main" id="{7FA85546-1FA1-4515-3F4D-66E1BFB495F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97824" y="1255059"/>
          <a:ext cx="483483" cy="483483"/>
        </a:xfrm>
        <a:prstGeom prst="rect">
          <a:avLst/>
        </a:prstGeom>
      </xdr:spPr>
    </xdr:pic>
    <xdr:clientData/>
  </xdr:twoCellAnchor>
  <xdr:twoCellAnchor editAs="oneCell">
    <xdr:from>
      <xdr:col>7</xdr:col>
      <xdr:colOff>504265</xdr:colOff>
      <xdr:row>4</xdr:row>
      <xdr:rowOff>123264</xdr:rowOff>
    </xdr:from>
    <xdr:to>
      <xdr:col>8</xdr:col>
      <xdr:colOff>439951</xdr:colOff>
      <xdr:row>7</xdr:row>
      <xdr:rowOff>36538</xdr:rowOff>
    </xdr:to>
    <xdr:pic>
      <xdr:nvPicPr>
        <xdr:cNvPr id="39" name="Picture 38">
          <a:extLst>
            <a:ext uri="{FF2B5EF4-FFF2-40B4-BE49-F238E27FC236}">
              <a16:creationId xmlns:a16="http://schemas.microsoft.com/office/drawing/2014/main" id="{C995AFF9-8D54-A45B-A0C4-16E699465C8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900147" y="1210235"/>
          <a:ext cx="540804" cy="540804"/>
        </a:xfrm>
        <a:prstGeom prst="rect">
          <a:avLst/>
        </a:prstGeom>
      </xdr:spPr>
    </xdr:pic>
    <xdr:clientData/>
  </xdr:twoCellAnchor>
  <xdr:twoCellAnchor editAs="oneCell">
    <xdr:from>
      <xdr:col>11</xdr:col>
      <xdr:colOff>392206</xdr:colOff>
      <xdr:row>4</xdr:row>
      <xdr:rowOff>172715</xdr:rowOff>
    </xdr:from>
    <xdr:to>
      <xdr:col>12</xdr:col>
      <xdr:colOff>237276</xdr:colOff>
      <xdr:row>6</xdr:row>
      <xdr:rowOff>174667</xdr:rowOff>
    </xdr:to>
    <xdr:pic>
      <xdr:nvPicPr>
        <xdr:cNvPr id="41" name="Picture 40">
          <a:extLst>
            <a:ext uri="{FF2B5EF4-FFF2-40B4-BE49-F238E27FC236}">
              <a16:creationId xmlns:a16="http://schemas.microsoft.com/office/drawing/2014/main" id="{04B3A39B-FA90-E290-044B-B63CDA7386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10208559" y="1259686"/>
          <a:ext cx="450188" cy="450188"/>
        </a:xfrm>
        <a:prstGeom prst="rect">
          <a:avLst/>
        </a:prstGeom>
      </xdr:spPr>
    </xdr:pic>
    <xdr:clientData/>
  </xdr:twoCellAnchor>
  <xdr:twoCellAnchor>
    <xdr:from>
      <xdr:col>5</xdr:col>
      <xdr:colOff>773206</xdr:colOff>
      <xdr:row>9</xdr:row>
      <xdr:rowOff>168087</xdr:rowOff>
    </xdr:from>
    <xdr:to>
      <xdr:col>14</xdr:col>
      <xdr:colOff>123264</xdr:colOff>
      <xdr:row>12</xdr:row>
      <xdr:rowOff>134469</xdr:rowOff>
    </xdr:to>
    <xdr:sp macro="" textlink="">
      <xdr:nvSpPr>
        <xdr:cNvPr id="42" name="TextBox 41">
          <a:extLst>
            <a:ext uri="{FF2B5EF4-FFF2-40B4-BE49-F238E27FC236}">
              <a16:creationId xmlns:a16="http://schemas.microsoft.com/office/drawing/2014/main" id="{50706A71-9287-6EDF-5506-08E8921B7736}"/>
            </a:ext>
          </a:extLst>
        </xdr:cNvPr>
        <xdr:cNvSpPr txBox="1"/>
      </xdr:nvSpPr>
      <xdr:spPr>
        <a:xfrm>
          <a:off x="6174441" y="2241175"/>
          <a:ext cx="5580529" cy="504265"/>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rPr>
            <a:t>Revenue</a:t>
          </a:r>
          <a:r>
            <a:rPr lang="en-IN" sz="2400" baseline="0">
              <a:solidFill>
                <a:schemeClr val="bg1"/>
              </a:solidFill>
            </a:rPr>
            <a:t> by Property</a:t>
          </a:r>
          <a:endParaRPr lang="en-IN" sz="2400">
            <a:solidFill>
              <a:schemeClr val="bg1"/>
            </a:solidFill>
          </a:endParaRPr>
        </a:p>
      </xdr:txBody>
    </xdr:sp>
    <xdr:clientData/>
  </xdr:twoCellAnchor>
  <xdr:twoCellAnchor>
    <xdr:from>
      <xdr:col>0</xdr:col>
      <xdr:colOff>201705</xdr:colOff>
      <xdr:row>29</xdr:row>
      <xdr:rowOff>145678</xdr:rowOff>
    </xdr:from>
    <xdr:to>
      <xdr:col>5</xdr:col>
      <xdr:colOff>1355912</xdr:colOff>
      <xdr:row>45</xdr:row>
      <xdr:rowOff>20172</xdr:rowOff>
    </xdr:to>
    <xdr:graphicFrame macro="">
      <xdr:nvGraphicFramePr>
        <xdr:cNvPr id="43" name="Chart 42">
          <a:extLst>
            <a:ext uri="{FF2B5EF4-FFF2-40B4-BE49-F238E27FC236}">
              <a16:creationId xmlns:a16="http://schemas.microsoft.com/office/drawing/2014/main" id="{01E4D22A-C3DB-40F3-99CF-D186A03E5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168088</xdr:colOff>
      <xdr:row>29</xdr:row>
      <xdr:rowOff>134471</xdr:rowOff>
    </xdr:from>
    <xdr:to>
      <xdr:col>5</xdr:col>
      <xdr:colOff>1333500</xdr:colOff>
      <xdr:row>31</xdr:row>
      <xdr:rowOff>179293</xdr:rowOff>
    </xdr:to>
    <xdr:sp macro="" textlink="">
      <xdr:nvSpPr>
        <xdr:cNvPr id="44" name="TextBox 43">
          <a:extLst>
            <a:ext uri="{FF2B5EF4-FFF2-40B4-BE49-F238E27FC236}">
              <a16:creationId xmlns:a16="http://schemas.microsoft.com/office/drawing/2014/main" id="{C2507DEA-D3D6-09F0-5A1E-3F60060DA369}"/>
            </a:ext>
          </a:extLst>
        </xdr:cNvPr>
        <xdr:cNvSpPr txBox="1"/>
      </xdr:nvSpPr>
      <xdr:spPr>
        <a:xfrm>
          <a:off x="168088" y="5423647"/>
          <a:ext cx="6566647" cy="403411"/>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rPr>
            <a:t>Booking by</a:t>
          </a:r>
          <a:r>
            <a:rPr lang="en-IN" sz="2400" baseline="0">
              <a:solidFill>
                <a:schemeClr val="bg1"/>
              </a:solidFill>
            </a:rPr>
            <a:t> Sources</a:t>
          </a:r>
          <a:endParaRPr lang="en-IN" sz="2400">
            <a:solidFill>
              <a:schemeClr val="bg1"/>
            </a:solidFill>
          </a:endParaRPr>
        </a:p>
      </xdr:txBody>
    </xdr:sp>
    <xdr:clientData/>
  </xdr:twoCellAnchor>
  <xdr:twoCellAnchor>
    <xdr:from>
      <xdr:col>0</xdr:col>
      <xdr:colOff>44824</xdr:colOff>
      <xdr:row>0</xdr:row>
      <xdr:rowOff>123265</xdr:rowOff>
    </xdr:from>
    <xdr:to>
      <xdr:col>15</xdr:col>
      <xdr:colOff>33617</xdr:colOff>
      <xdr:row>3</xdr:row>
      <xdr:rowOff>44824</xdr:rowOff>
    </xdr:to>
    <xdr:sp macro="" textlink="">
      <xdr:nvSpPr>
        <xdr:cNvPr id="45" name="TextBox 44">
          <a:extLst>
            <a:ext uri="{FF2B5EF4-FFF2-40B4-BE49-F238E27FC236}">
              <a16:creationId xmlns:a16="http://schemas.microsoft.com/office/drawing/2014/main" id="{D3E89A0A-C4C7-D969-EED0-4C72FA8FE8AA}"/>
            </a:ext>
          </a:extLst>
        </xdr:cNvPr>
        <xdr:cNvSpPr txBox="1"/>
      </xdr:nvSpPr>
      <xdr:spPr>
        <a:xfrm>
          <a:off x="44824" y="123265"/>
          <a:ext cx="12225617" cy="459441"/>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RESIDENT</a:t>
          </a:r>
          <a:r>
            <a:rPr lang="en-IN" sz="2400" b="1" baseline="0">
              <a:solidFill>
                <a:schemeClr val="bg1"/>
              </a:solidFill>
            </a:rPr>
            <a:t> MANAGEMENT DASHBOARD</a:t>
          </a:r>
          <a:endParaRPr lang="en-IN" sz="2400" b="1">
            <a:solidFill>
              <a:schemeClr val="bg1"/>
            </a:solidFill>
          </a:endParaRPr>
        </a:p>
      </xdr:txBody>
    </xdr:sp>
    <xdr:clientData/>
  </xdr:twoCellAnchor>
  <xdr:twoCellAnchor editAs="oneCell">
    <xdr:from>
      <xdr:col>2</xdr:col>
      <xdr:colOff>885264</xdr:colOff>
      <xdr:row>0</xdr:row>
      <xdr:rowOff>134471</xdr:rowOff>
    </xdr:from>
    <xdr:to>
      <xdr:col>3</xdr:col>
      <xdr:colOff>271782</xdr:colOff>
      <xdr:row>2</xdr:row>
      <xdr:rowOff>170930</xdr:rowOff>
    </xdr:to>
    <xdr:pic>
      <xdr:nvPicPr>
        <xdr:cNvPr id="47" name="Picture 46">
          <a:extLst>
            <a:ext uri="{FF2B5EF4-FFF2-40B4-BE49-F238E27FC236}">
              <a16:creationId xmlns:a16="http://schemas.microsoft.com/office/drawing/2014/main" id="{46960802-D35B-304C-6118-67C0A227BD8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04029" y="134471"/>
          <a:ext cx="395047" cy="395047"/>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0.9989</cdr:x>
      <cdr:y>0.14583</cdr:y>
    </cdr:to>
    <cdr:sp macro="" textlink="">
      <cdr:nvSpPr>
        <cdr:cNvPr id="2" name="TextBox 1">
          <a:extLst xmlns:a="http://schemas.openxmlformats.org/drawingml/2006/main">
            <a:ext uri="{FF2B5EF4-FFF2-40B4-BE49-F238E27FC236}">
              <a16:creationId xmlns:a16="http://schemas.microsoft.com/office/drawing/2014/main" id="{8AE22138-0397-EDEE-6360-5FB0EAEA353C}"/>
            </a:ext>
          </a:extLst>
        </cdr:cNvPr>
        <cdr:cNvSpPr txBox="1"/>
      </cdr:nvSpPr>
      <cdr:spPr>
        <a:xfrm xmlns:a="http://schemas.openxmlformats.org/drawingml/2006/main">
          <a:off x="-20568" y="-458165"/>
          <a:ext cx="5109882" cy="392205"/>
        </a:xfrm>
        <a:prstGeom xmlns:a="http://schemas.openxmlformats.org/drawingml/2006/main" prst="rect">
          <a:avLst/>
        </a:prstGeom>
        <a:solidFill xmlns:a="http://schemas.openxmlformats.org/drawingml/2006/main">
          <a:schemeClr val="tx2">
            <a:lumMod val="5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2400" b="0" kern="1200">
              <a:solidFill>
                <a:schemeClr val="bg1"/>
              </a:solidFill>
            </a:rPr>
            <a:t>Revenue by City</a:t>
          </a:r>
        </a:p>
      </cdr:txBody>
    </cdr:sp>
  </cdr:relSizeAnchor>
</c:userShapes>
</file>

<file path=xl/drawings/drawing3.xml><?xml version="1.0" encoding="utf-8"?>
<c:userShapes xmlns:c="http://schemas.openxmlformats.org/drawingml/2006/chart">
  <cdr:relSizeAnchor xmlns:cdr="http://schemas.openxmlformats.org/drawingml/2006/chartDrawing">
    <cdr:from>
      <cdr:x>0</cdr:x>
      <cdr:y>0.05227</cdr:y>
    </cdr:from>
    <cdr:to>
      <cdr:x>1</cdr:x>
      <cdr:y>0.1445</cdr:y>
    </cdr:to>
    <cdr:sp macro="" textlink="">
      <cdr:nvSpPr>
        <cdr:cNvPr id="2" name="TextBox 1">
          <a:extLst xmlns:a="http://schemas.openxmlformats.org/drawingml/2006/main">
            <a:ext uri="{FF2B5EF4-FFF2-40B4-BE49-F238E27FC236}">
              <a16:creationId xmlns:a16="http://schemas.microsoft.com/office/drawing/2014/main" id="{3EC5A56F-83E3-D5C2-9E50-727A092CA293}"/>
            </a:ext>
          </a:extLst>
        </cdr:cNvPr>
        <cdr:cNvSpPr txBox="1"/>
      </cdr:nvSpPr>
      <cdr:spPr>
        <a:xfrm xmlns:a="http://schemas.openxmlformats.org/drawingml/2006/main">
          <a:off x="3092" y="184173"/>
          <a:ext cx="5569324" cy="3249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aa" refreshedDate="46182.776999884256" createdVersion="8" refreshedVersion="8" minRefreshableVersion="3" recordCount="200" xr:uid="{02A982A2-BC49-4628-993B-5E936BFD1DAA}">
  <cacheSource type="worksheet">
    <worksheetSource ref="A1:P201" sheet="Formula Assessment"/>
  </cacheSource>
  <cacheFields count="19">
    <cacheField name="Resident ID" numFmtId="0">
      <sharedItems/>
    </cacheField>
    <cacheField name="Resident Name" numFmtId="0">
      <sharedItems/>
    </cacheField>
    <cacheField name="Property" numFmtId="0">
      <sharedItems count="4">
        <s v="Gamma Residency"/>
        <s v="Delta Stay"/>
        <s v="Alpha House"/>
        <s v="Beta Living"/>
      </sharedItems>
    </cacheField>
    <cacheField name="City" numFmtId="0">
      <sharedItems count="3">
        <s v="Mumbai"/>
        <s v="Bangalore"/>
        <s v="Pune"/>
      </sharedItems>
    </cacheField>
    <cacheField name="Move-In Date" numFmtId="164">
      <sharedItems containsSemiMixedTypes="0" containsNonDate="0" containsDate="1" containsString="0" minDate="2025-01-22T00:00:00" maxDate="2026-06-01T00:00:00" count="160">
        <d v="2026-04-19T00:00:00"/>
        <d v="2026-01-06T00:00:00"/>
        <d v="2025-07-02T00:00:00"/>
        <d v="2025-04-01T00:00:00"/>
        <d v="2026-04-01T00:00:00"/>
        <d v="2025-01-23T00:00:00"/>
        <d v="2025-10-22T00:00:00"/>
        <d v="2025-10-12T00:00:00"/>
        <d v="2025-12-21T00:00:00"/>
        <d v="2025-04-18T00:00:00"/>
        <d v="2025-09-25T00:00:00"/>
        <d v="2025-12-09T00:00:00"/>
        <d v="2025-09-12T00:00:00"/>
        <d v="2026-03-02T00:00:00"/>
        <d v="2025-08-01T00:00:00"/>
        <d v="2026-05-05T00:00:00"/>
        <d v="2026-01-13T00:00:00"/>
        <d v="2025-05-02T00:00:00"/>
        <d v="2025-04-11T00:00:00"/>
        <d v="2026-04-17T00:00:00"/>
        <d v="2026-02-11T00:00:00"/>
        <d v="2025-02-12T00:00:00"/>
        <d v="2025-12-18T00:00:00"/>
        <d v="2025-04-05T00:00:00"/>
        <d v="2025-09-24T00:00:00"/>
        <d v="2025-10-02T00:00:00"/>
        <d v="2025-07-29T00:00:00"/>
        <d v="2026-03-13T00:00:00"/>
        <d v="2025-05-22T00:00:00"/>
        <d v="2026-03-17T00:00:00"/>
        <d v="2025-06-04T00:00:00"/>
        <d v="2026-05-31T00:00:00"/>
        <d v="2025-02-02T00:00:00"/>
        <d v="2025-02-20T00:00:00"/>
        <d v="2025-05-27T00:00:00"/>
        <d v="2026-01-09T00:00:00"/>
        <d v="2025-09-05T00:00:00"/>
        <d v="2025-06-28T00:00:00"/>
        <d v="2025-08-18T00:00:00"/>
        <d v="2025-12-20T00:00:00"/>
        <d v="2026-03-20T00:00:00"/>
        <d v="2026-03-12T00:00:00"/>
        <d v="2025-04-16T00:00:00"/>
        <d v="2025-08-23T00:00:00"/>
        <d v="2025-08-26T00:00:00"/>
        <d v="2026-04-18T00:00:00"/>
        <d v="2025-09-03T00:00:00"/>
        <d v="2025-09-18T00:00:00"/>
        <d v="2026-05-11T00:00:00"/>
        <d v="2025-08-07T00:00:00"/>
        <d v="2025-12-11T00:00:00"/>
        <d v="2026-02-20T00:00:00"/>
        <d v="2026-01-22T00:00:00"/>
        <d v="2025-10-08T00:00:00"/>
        <d v="2025-11-19T00:00:00"/>
        <d v="2026-04-15T00:00:00"/>
        <d v="2025-04-12T00:00:00"/>
        <d v="2025-02-21T00:00:00"/>
        <d v="2025-06-02T00:00:00"/>
        <d v="2025-06-06T00:00:00"/>
        <d v="2025-09-20T00:00:00"/>
        <d v="2025-08-06T00:00:00"/>
        <d v="2026-05-17T00:00:00"/>
        <d v="2026-01-19T00:00:00"/>
        <d v="2026-02-02T00:00:00"/>
        <d v="2026-05-08T00:00:00"/>
        <d v="2026-04-03T00:00:00"/>
        <d v="2026-02-16T00:00:00"/>
        <d v="2025-12-04T00:00:00"/>
        <d v="2026-05-30T00:00:00"/>
        <d v="2026-04-04T00:00:00"/>
        <d v="2026-04-23T00:00:00"/>
        <d v="2025-09-29T00:00:00"/>
        <d v="2025-05-06T00:00:00"/>
        <d v="2025-05-13T00:00:00"/>
        <d v="2025-03-30T00:00:00"/>
        <d v="2026-05-26T00:00:00"/>
        <d v="2025-05-20T00:00:00"/>
        <d v="2025-08-17T00:00:00"/>
        <d v="2026-01-11T00:00:00"/>
        <d v="2025-07-28T00:00:00"/>
        <d v="2025-07-07T00:00:00"/>
        <d v="2025-09-13T00:00:00"/>
        <d v="2026-04-21T00:00:00"/>
        <d v="2025-09-14T00:00:00"/>
        <d v="2025-02-06T00:00:00"/>
        <d v="2026-02-05T00:00:00"/>
        <d v="2025-11-01T00:00:00"/>
        <d v="2025-03-29T00:00:00"/>
        <d v="2025-12-07T00:00:00"/>
        <d v="2026-03-22T00:00:00"/>
        <d v="2025-04-06T00:00:00"/>
        <d v="2025-09-02T00:00:00"/>
        <d v="2025-10-07T00:00:00"/>
        <d v="2026-02-15T00:00:00"/>
        <d v="2025-05-11T00:00:00"/>
        <d v="2025-12-01T00:00:00"/>
        <d v="2026-03-16T00:00:00"/>
        <d v="2025-10-18T00:00:00"/>
        <d v="2025-05-18T00:00:00"/>
        <d v="2026-03-14T00:00:00"/>
        <d v="2025-11-27T00:00:00"/>
        <d v="2025-09-27T00:00:00"/>
        <d v="2026-05-24T00:00:00"/>
        <d v="2025-08-25T00:00:00"/>
        <d v="2025-08-05T00:00:00"/>
        <d v="2025-10-28T00:00:00"/>
        <d v="2025-05-17T00:00:00"/>
        <d v="2025-09-06T00:00:00"/>
        <d v="2026-05-29T00:00:00"/>
        <d v="2025-05-21T00:00:00"/>
        <d v="2026-02-24T00:00:00"/>
        <d v="2025-03-31T00:00:00"/>
        <d v="2025-08-27T00:00:00"/>
        <d v="2026-04-22T00:00:00"/>
        <d v="2026-05-06T00:00:00"/>
        <d v="2025-08-20T00:00:00"/>
        <d v="2025-06-03T00:00:00"/>
        <d v="2026-02-19T00:00:00"/>
        <d v="2026-01-17T00:00:00"/>
        <d v="2026-04-07T00:00:00"/>
        <d v="2025-08-09T00:00:00"/>
        <d v="2025-11-21T00:00:00"/>
        <d v="2025-04-03T00:00:00"/>
        <d v="2025-06-10T00:00:00"/>
        <d v="2025-12-25T00:00:00"/>
        <d v="2025-02-16T00:00:00"/>
        <d v="2025-06-29T00:00:00"/>
        <d v="2026-01-10T00:00:00"/>
        <d v="2025-06-19T00:00:00"/>
        <d v="2026-02-26T00:00:00"/>
        <d v="2026-04-27T00:00:00"/>
        <d v="2025-12-12T00:00:00"/>
        <d v="2026-03-30T00:00:00"/>
        <d v="2025-12-30T00:00:00"/>
        <d v="2025-05-28T00:00:00"/>
        <d v="2025-04-09T00:00:00"/>
        <d v="2025-01-22T00:00:00"/>
        <d v="2026-03-04T00:00:00"/>
        <d v="2026-01-16T00:00:00"/>
        <d v="2026-03-31T00:00:00"/>
        <d v="2025-02-15T00:00:00"/>
        <d v="2025-12-26T00:00:00"/>
        <d v="2025-05-10T00:00:00"/>
        <d v="2025-05-07T00:00:00"/>
        <d v="2025-07-20T00:00:00"/>
        <d v="2026-01-23T00:00:00"/>
        <d v="2025-04-20T00:00:00"/>
        <d v="2025-10-03T00:00:00"/>
        <d v="2026-05-14T00:00:00"/>
        <d v="2025-05-03T00:00:00"/>
        <d v="2025-05-23T00:00:00"/>
        <d v="2025-02-25T00:00:00"/>
        <d v="2026-04-13T00:00:00"/>
        <d v="2025-12-24T00:00:00"/>
        <d v="2025-10-05T00:00:00"/>
        <d v="2025-08-13T00:00:00"/>
        <d v="2025-10-25T00:00:00"/>
        <d v="2025-07-21T00:00:00"/>
        <d v="2026-05-13T00:00:00"/>
      </sharedItems>
      <fieldGroup par="18"/>
    </cacheField>
    <cacheField name="Agreement Start Date" numFmtId="164">
      <sharedItems containsSemiMixedTypes="0" containsNonDate="0" containsDate="1" containsString="0" minDate="2025-01-22T00:00:00" maxDate="2026-05-31T00:00:00"/>
    </cacheField>
    <cacheField name="Agreement End Date" numFmtId="164">
      <sharedItems containsSemiMixedTypes="0" containsNonDate="0" containsDate="1" containsString="0" minDate="2025-05-24T00:00:00" maxDate="2027-04-22T00:00:00"/>
    </cacheField>
    <cacheField name="Monthly Rent" numFmtId="0">
      <sharedItems containsSemiMixedTypes="0" containsString="0" containsNumber="1" containsInteger="1" minValue="8000" maxValue="18000"/>
    </cacheField>
    <cacheField name="Occupancy Status" numFmtId="0">
      <sharedItems/>
    </cacheField>
    <cacheField name="Move-In Status" numFmtId="0">
      <sharedItems count="2">
        <s v="Pending"/>
        <s v="Completed"/>
      </sharedItems>
    </cacheField>
    <cacheField name="Booking Source" numFmtId="0">
      <sharedItems count="4">
        <s v="Walk-in"/>
        <s v="Partner"/>
        <s v="Website"/>
        <s v="Referral"/>
      </sharedItems>
    </cacheField>
    <cacheField name="Revenue" numFmtId="0">
      <sharedItems containsSemiMixedTypes="0" containsString="0" containsNumber="1" containsInteger="1" minValue="8000" maxValue="18000"/>
    </cacheField>
    <cacheField name="Revenue Band" numFmtId="0">
      <sharedItems/>
    </cacheField>
    <cacheField name="Stay Duration" numFmtId="0">
      <sharedItems containsSemiMixedTypes="0" containsString="0" containsNumber="1" containsInteger="1" minValue="-224" maxValue="411"/>
    </cacheField>
    <cacheField name="Occupancy Flag" numFmtId="0">
      <sharedItems containsSemiMixedTypes="0" containsString="0" containsNumber="1" containsInteger="1" minValue="0" maxValue="1"/>
    </cacheField>
    <cacheField name="Overstay Days" numFmtId="0">
      <sharedItems containsSemiMixedTypes="0" containsString="0" containsNumber="1" containsInteger="1" minValue="0" maxValue="381"/>
    </cacheField>
    <cacheField name="Months (Move-In Date)" numFmtId="0" databaseField="0">
      <fieldGroup base="4">
        <rangePr groupBy="months" startDate="2025-01-22T00:00:00" endDate="2026-06-01T00:00:00"/>
        <groupItems count="14">
          <s v="&lt;22-01-2025"/>
          <s v="Jan"/>
          <s v="Feb"/>
          <s v="Mar"/>
          <s v="Apr"/>
          <s v="May"/>
          <s v="Jun"/>
          <s v="Jul"/>
          <s v="Aug"/>
          <s v="Sep"/>
          <s v="Oct"/>
          <s v="Nov"/>
          <s v="Dec"/>
          <s v="&gt;01-06-2026"/>
        </groupItems>
      </fieldGroup>
    </cacheField>
    <cacheField name="Quarters (Move-In Date)" numFmtId="0" databaseField="0">
      <fieldGroup base="4">
        <rangePr groupBy="quarters" startDate="2025-01-22T00:00:00" endDate="2026-06-01T00:00:00"/>
        <groupItems count="6">
          <s v="&lt;22-01-2025"/>
          <s v="Qtr1"/>
          <s v="Qtr2"/>
          <s v="Qtr3"/>
          <s v="Qtr4"/>
          <s v="&gt;01-06-2026"/>
        </groupItems>
      </fieldGroup>
    </cacheField>
    <cacheField name="Years (Move-In Date)" numFmtId="0" databaseField="0">
      <fieldGroup base="4">
        <rangePr groupBy="years" startDate="2025-01-22T00:00:00" endDate="2026-06-01T00:00:00"/>
        <groupItems count="4">
          <s v="&lt;22-01-2025"/>
          <s v="2025"/>
          <s v="2026"/>
          <s v="&gt;01-06-2026"/>
        </groupItems>
      </fieldGroup>
    </cacheField>
  </cacheFields>
  <extLst>
    <ext xmlns:x14="http://schemas.microsoft.com/office/spreadsheetml/2009/9/main" uri="{725AE2AE-9491-48be-B2B4-4EB974FC3084}">
      <x14:pivotCacheDefinition pivotCacheId="415586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R0001"/>
    <s v="Resident 1"/>
    <x v="0"/>
    <x v="0"/>
    <x v="0"/>
    <d v="2026-04-19T00:00:00"/>
    <d v="2026-11-13T00:00:00"/>
    <n v="10000"/>
    <s v="Occupied"/>
    <x v="0"/>
    <x v="0"/>
    <n v="10000"/>
    <s v="Medium"/>
    <n v="208"/>
    <n v="1"/>
    <n v="0"/>
  </r>
  <r>
    <s v="R0002"/>
    <s v="Resident 2"/>
    <x v="1"/>
    <x v="1"/>
    <x v="1"/>
    <d v="2026-01-06T00:00:00"/>
    <d v="2026-05-07T00:00:00"/>
    <n v="12000"/>
    <s v="Vacant"/>
    <x v="0"/>
    <x v="0"/>
    <n v="12000"/>
    <s v="Medium"/>
    <n v="121"/>
    <n v="0"/>
    <n v="33"/>
  </r>
  <r>
    <s v="R0003"/>
    <s v="Resident 3"/>
    <x v="1"/>
    <x v="0"/>
    <x v="2"/>
    <d v="2025-07-02T00:00:00"/>
    <d v="2025-11-13T00:00:00"/>
    <n v="10000"/>
    <s v="Vacant"/>
    <x v="0"/>
    <x v="1"/>
    <n v="10000"/>
    <s v="Medium"/>
    <n v="134"/>
    <n v="0"/>
    <n v="208"/>
  </r>
  <r>
    <s v="R0004"/>
    <s v="Resident 4"/>
    <x v="2"/>
    <x v="0"/>
    <x v="3"/>
    <d v="2025-04-01T00:00:00"/>
    <d v="2025-11-22T00:00:00"/>
    <n v="10000"/>
    <s v="Vacant"/>
    <x v="0"/>
    <x v="2"/>
    <n v="10000"/>
    <s v="Medium"/>
    <n v="235"/>
    <n v="0"/>
    <n v="199"/>
  </r>
  <r>
    <s v="R0005"/>
    <s v="Resident 5"/>
    <x v="0"/>
    <x v="0"/>
    <x v="4"/>
    <d v="2026-04-01T00:00:00"/>
    <d v="2027-01-08T00:00:00"/>
    <n v="10000"/>
    <s v="Occupied"/>
    <x v="1"/>
    <x v="1"/>
    <n v="10000"/>
    <s v="Medium"/>
    <n v="282"/>
    <n v="1"/>
    <n v="0"/>
  </r>
  <r>
    <s v="R0006"/>
    <s v="Resident 6"/>
    <x v="3"/>
    <x v="0"/>
    <x v="5"/>
    <d v="2025-01-23T00:00:00"/>
    <d v="2025-08-15T00:00:00"/>
    <n v="8000"/>
    <s v="Occupied"/>
    <x v="1"/>
    <x v="2"/>
    <n v="8000"/>
    <s v="Low"/>
    <n v="204"/>
    <n v="1"/>
    <n v="298"/>
  </r>
  <r>
    <s v="R0007"/>
    <s v="Resident 7"/>
    <x v="2"/>
    <x v="0"/>
    <x v="6"/>
    <d v="2025-10-22T00:00:00"/>
    <d v="2026-04-03T00:00:00"/>
    <n v="8000"/>
    <s v="Occupied"/>
    <x v="0"/>
    <x v="2"/>
    <n v="8000"/>
    <s v="Low"/>
    <n v="163"/>
    <n v="1"/>
    <n v="67"/>
  </r>
  <r>
    <s v="R0008"/>
    <s v="Resident 8"/>
    <x v="0"/>
    <x v="0"/>
    <x v="7"/>
    <d v="2025-10-12T00:00:00"/>
    <d v="2026-02-24T00:00:00"/>
    <n v="12000"/>
    <s v="Occupied"/>
    <x v="0"/>
    <x v="0"/>
    <n v="12000"/>
    <s v="Medium"/>
    <n v="135"/>
    <n v="1"/>
    <n v="105"/>
  </r>
  <r>
    <s v="R0009"/>
    <s v="Resident 9"/>
    <x v="0"/>
    <x v="2"/>
    <x v="8"/>
    <d v="2025-12-21T00:00:00"/>
    <d v="2026-10-02T00:00:00"/>
    <n v="15000"/>
    <s v="Occupied"/>
    <x v="1"/>
    <x v="2"/>
    <n v="15000"/>
    <s v="High"/>
    <n v="285"/>
    <n v="1"/>
    <n v="0"/>
  </r>
  <r>
    <s v="R0010"/>
    <s v="Resident 10"/>
    <x v="2"/>
    <x v="0"/>
    <x v="9"/>
    <d v="2025-04-18T00:00:00"/>
    <d v="2026-01-19T00:00:00"/>
    <n v="15000"/>
    <s v="Vacant"/>
    <x v="0"/>
    <x v="0"/>
    <n v="15000"/>
    <s v="High"/>
    <n v="276"/>
    <n v="0"/>
    <n v="141"/>
  </r>
  <r>
    <s v="R0011"/>
    <s v="Resident 11"/>
    <x v="3"/>
    <x v="0"/>
    <x v="10"/>
    <d v="2025-09-25T00:00:00"/>
    <d v="2026-04-18T00:00:00"/>
    <n v="18000"/>
    <s v="Vacant"/>
    <x v="1"/>
    <x v="0"/>
    <n v="18000"/>
    <s v="High"/>
    <n v="205"/>
    <n v="0"/>
    <n v="52"/>
  </r>
  <r>
    <s v="R0012"/>
    <s v="Resident 12"/>
    <x v="2"/>
    <x v="0"/>
    <x v="11"/>
    <d v="2025-12-09T00:00:00"/>
    <d v="2026-11-08T00:00:00"/>
    <n v="8000"/>
    <s v="Occupied"/>
    <x v="1"/>
    <x v="0"/>
    <n v="8000"/>
    <s v="Low"/>
    <n v="334"/>
    <n v="1"/>
    <n v="0"/>
  </r>
  <r>
    <s v="R0013"/>
    <s v="Resident 13"/>
    <x v="0"/>
    <x v="0"/>
    <x v="12"/>
    <d v="2025-09-12T00:00:00"/>
    <d v="2026-05-29T00:00:00"/>
    <n v="10000"/>
    <s v="Occupied"/>
    <x v="1"/>
    <x v="2"/>
    <n v="10000"/>
    <s v="Medium"/>
    <n v="259"/>
    <n v="1"/>
    <n v="11"/>
  </r>
  <r>
    <s v="R0014"/>
    <s v="Resident 14"/>
    <x v="0"/>
    <x v="1"/>
    <x v="13"/>
    <d v="2026-03-02T00:00:00"/>
    <d v="2026-05-30T00:00:00"/>
    <n v="12000"/>
    <s v="Occupied"/>
    <x v="0"/>
    <x v="0"/>
    <n v="12000"/>
    <s v="Medium"/>
    <n v="89"/>
    <n v="1"/>
    <n v="10"/>
  </r>
  <r>
    <s v="R0015"/>
    <s v="Resident 15"/>
    <x v="0"/>
    <x v="0"/>
    <x v="14"/>
    <d v="2025-08-01T00:00:00"/>
    <d v="2026-01-06T00:00:00"/>
    <n v="18000"/>
    <s v="Occupied"/>
    <x v="1"/>
    <x v="2"/>
    <n v="18000"/>
    <s v="High"/>
    <n v="158"/>
    <n v="1"/>
    <n v="154"/>
  </r>
  <r>
    <s v="R0016"/>
    <s v="Resident 16"/>
    <x v="2"/>
    <x v="0"/>
    <x v="15"/>
    <d v="2025-04-12T00:00:00"/>
    <d v="2026-01-14T00:00:00"/>
    <n v="12000"/>
    <s v="Vacant"/>
    <x v="0"/>
    <x v="0"/>
    <n v="12000"/>
    <s v="Medium"/>
    <n v="-111"/>
    <n v="0"/>
    <n v="146"/>
  </r>
  <r>
    <s v="R0017"/>
    <s v="Resident 17"/>
    <x v="1"/>
    <x v="0"/>
    <x v="16"/>
    <d v="2026-01-13T00:00:00"/>
    <d v="2026-06-09T00:00:00"/>
    <n v="18000"/>
    <s v="Occupied"/>
    <x v="1"/>
    <x v="1"/>
    <n v="18000"/>
    <s v="High"/>
    <n v="147"/>
    <n v="1"/>
    <n v="0"/>
  </r>
  <r>
    <s v="R0018"/>
    <s v="Resident 18"/>
    <x v="3"/>
    <x v="0"/>
    <x v="17"/>
    <d v="2025-05-02T00:00:00"/>
    <d v="2026-04-29T00:00:00"/>
    <n v="18000"/>
    <s v="Occupied"/>
    <x v="0"/>
    <x v="0"/>
    <n v="18000"/>
    <s v="High"/>
    <n v="362"/>
    <n v="1"/>
    <n v="41"/>
  </r>
  <r>
    <s v="R0019"/>
    <s v="Resident 19"/>
    <x v="3"/>
    <x v="0"/>
    <x v="18"/>
    <d v="2025-04-11T00:00:00"/>
    <d v="2025-11-04T00:00:00"/>
    <n v="8000"/>
    <s v="Occupied"/>
    <x v="1"/>
    <x v="0"/>
    <n v="8000"/>
    <s v="Low"/>
    <n v="207"/>
    <n v="1"/>
    <n v="217"/>
  </r>
  <r>
    <s v="R0020"/>
    <s v="Resident 20"/>
    <x v="2"/>
    <x v="0"/>
    <x v="19"/>
    <d v="2026-04-17T00:00:00"/>
    <d v="2027-01-25T00:00:00"/>
    <n v="12000"/>
    <s v="Occupied"/>
    <x v="0"/>
    <x v="3"/>
    <n v="12000"/>
    <s v="Medium"/>
    <n v="283"/>
    <n v="1"/>
    <n v="0"/>
  </r>
  <r>
    <s v="R0021"/>
    <s v="Resident 21"/>
    <x v="3"/>
    <x v="0"/>
    <x v="20"/>
    <d v="2026-02-11T00:00:00"/>
    <d v="2026-08-23T00:00:00"/>
    <n v="12000"/>
    <s v="Occupied"/>
    <x v="0"/>
    <x v="0"/>
    <n v="12000"/>
    <s v="Medium"/>
    <n v="193"/>
    <n v="1"/>
    <n v="0"/>
  </r>
  <r>
    <s v="R0022"/>
    <s v="Resident 22"/>
    <x v="0"/>
    <x v="0"/>
    <x v="21"/>
    <d v="2025-02-12T00:00:00"/>
    <d v="2025-08-13T00:00:00"/>
    <n v="18000"/>
    <s v="Vacant"/>
    <x v="1"/>
    <x v="2"/>
    <n v="18000"/>
    <s v="High"/>
    <n v="182"/>
    <n v="0"/>
    <n v="300"/>
  </r>
  <r>
    <s v="R0023"/>
    <s v="Resident 23"/>
    <x v="3"/>
    <x v="2"/>
    <x v="22"/>
    <d v="2025-12-18T00:00:00"/>
    <d v="2026-09-27T00:00:00"/>
    <n v="15000"/>
    <s v="Vacant"/>
    <x v="1"/>
    <x v="0"/>
    <n v="15000"/>
    <s v="High"/>
    <n v="283"/>
    <n v="0"/>
    <n v="0"/>
  </r>
  <r>
    <s v="R0024"/>
    <s v="Resident 24"/>
    <x v="2"/>
    <x v="1"/>
    <x v="23"/>
    <d v="2025-04-05T00:00:00"/>
    <d v="2025-10-19T00:00:00"/>
    <n v="18000"/>
    <s v="Occupied"/>
    <x v="0"/>
    <x v="1"/>
    <n v="18000"/>
    <s v="High"/>
    <n v="197"/>
    <n v="1"/>
    <n v="233"/>
  </r>
  <r>
    <s v="R0025"/>
    <s v="Resident 25"/>
    <x v="0"/>
    <x v="0"/>
    <x v="24"/>
    <d v="2025-09-24T00:00:00"/>
    <d v="2026-04-20T00:00:00"/>
    <n v="10000"/>
    <s v="Occupied"/>
    <x v="1"/>
    <x v="1"/>
    <n v="10000"/>
    <s v="Medium"/>
    <n v="208"/>
    <n v="1"/>
    <n v="50"/>
  </r>
  <r>
    <s v="R0026"/>
    <s v="Resident 26"/>
    <x v="3"/>
    <x v="1"/>
    <x v="25"/>
    <d v="2025-10-02T00:00:00"/>
    <d v="2026-05-06T00:00:00"/>
    <n v="12000"/>
    <s v="Occupied"/>
    <x v="0"/>
    <x v="3"/>
    <n v="12000"/>
    <s v="Medium"/>
    <n v="216"/>
    <n v="1"/>
    <n v="34"/>
  </r>
  <r>
    <s v="R0027"/>
    <s v="Resident 27"/>
    <x v="3"/>
    <x v="1"/>
    <x v="26"/>
    <d v="2025-07-29T00:00:00"/>
    <d v="2026-06-07T00:00:00"/>
    <n v="8000"/>
    <s v="Vacant"/>
    <x v="1"/>
    <x v="3"/>
    <n v="8000"/>
    <s v="Low"/>
    <n v="313"/>
    <n v="0"/>
    <n v="2"/>
  </r>
  <r>
    <s v="R0028"/>
    <s v="Resident 28"/>
    <x v="0"/>
    <x v="0"/>
    <x v="17"/>
    <d v="2025-05-02T00:00:00"/>
    <d v="2025-11-11T00:00:00"/>
    <n v="10000"/>
    <s v="Vacant"/>
    <x v="1"/>
    <x v="2"/>
    <n v="10000"/>
    <s v="Medium"/>
    <n v="193"/>
    <n v="0"/>
    <n v="210"/>
  </r>
  <r>
    <s v="R0029"/>
    <s v="Resident 29"/>
    <x v="3"/>
    <x v="2"/>
    <x v="27"/>
    <d v="2026-03-13T00:00:00"/>
    <d v="2026-05-01T00:00:00"/>
    <n v="8000"/>
    <s v="Occupied"/>
    <x v="0"/>
    <x v="0"/>
    <n v="8000"/>
    <s v="Low"/>
    <n v="49"/>
    <n v="1"/>
    <n v="39"/>
  </r>
  <r>
    <s v="R0030"/>
    <s v="Resident 30"/>
    <x v="3"/>
    <x v="0"/>
    <x v="28"/>
    <d v="2025-05-22T00:00:00"/>
    <d v="2025-09-16T00:00:00"/>
    <n v="8000"/>
    <s v="Occupied"/>
    <x v="1"/>
    <x v="1"/>
    <n v="8000"/>
    <s v="Low"/>
    <n v="117"/>
    <n v="1"/>
    <n v="266"/>
  </r>
  <r>
    <s v="R0031"/>
    <s v="Resident 31"/>
    <x v="2"/>
    <x v="0"/>
    <x v="29"/>
    <d v="2026-03-17T00:00:00"/>
    <d v="2026-11-01T00:00:00"/>
    <n v="15000"/>
    <s v="Occupied"/>
    <x v="1"/>
    <x v="0"/>
    <n v="15000"/>
    <s v="High"/>
    <n v="229"/>
    <n v="1"/>
    <n v="0"/>
  </r>
  <r>
    <s v="R0032"/>
    <s v="Resident 32"/>
    <x v="3"/>
    <x v="2"/>
    <x v="30"/>
    <d v="2025-06-04T00:00:00"/>
    <d v="2026-03-17T00:00:00"/>
    <n v="15000"/>
    <s v="Vacant"/>
    <x v="0"/>
    <x v="3"/>
    <n v="15000"/>
    <s v="High"/>
    <n v="286"/>
    <n v="0"/>
    <n v="84"/>
  </r>
  <r>
    <s v="R0033"/>
    <s v="Resident 33"/>
    <x v="3"/>
    <x v="2"/>
    <x v="31"/>
    <d v="2025-07-23T00:00:00"/>
    <d v="2026-06-22T00:00:00"/>
    <n v="12000"/>
    <s v="Occupied"/>
    <x v="0"/>
    <x v="0"/>
    <n v="12000"/>
    <s v="Medium"/>
    <n v="22"/>
    <n v="1"/>
    <n v="0"/>
  </r>
  <r>
    <s v="R0034"/>
    <s v="Resident 34"/>
    <x v="0"/>
    <x v="0"/>
    <x v="32"/>
    <d v="2025-02-02T00:00:00"/>
    <d v="2025-10-21T00:00:00"/>
    <n v="12000"/>
    <s v="Vacant"/>
    <x v="1"/>
    <x v="0"/>
    <n v="12000"/>
    <s v="Medium"/>
    <n v="261"/>
    <n v="0"/>
    <n v="231"/>
  </r>
  <r>
    <s v="R0035"/>
    <s v="Resident 35"/>
    <x v="0"/>
    <x v="1"/>
    <x v="33"/>
    <d v="2025-02-20T00:00:00"/>
    <d v="2025-10-31T00:00:00"/>
    <n v="10000"/>
    <s v="Occupied"/>
    <x v="1"/>
    <x v="3"/>
    <n v="10000"/>
    <s v="Medium"/>
    <n v="253"/>
    <n v="1"/>
    <n v="221"/>
  </r>
  <r>
    <s v="R0036"/>
    <s v="Resident 36"/>
    <x v="3"/>
    <x v="1"/>
    <x v="34"/>
    <d v="2025-05-27T00:00:00"/>
    <d v="2026-02-16T00:00:00"/>
    <n v="8000"/>
    <s v="Occupied"/>
    <x v="0"/>
    <x v="1"/>
    <n v="8000"/>
    <s v="Low"/>
    <n v="265"/>
    <n v="1"/>
    <n v="113"/>
  </r>
  <r>
    <s v="R0037"/>
    <s v="Resident 37"/>
    <x v="2"/>
    <x v="0"/>
    <x v="35"/>
    <d v="2026-01-09T00:00:00"/>
    <d v="2026-07-20T00:00:00"/>
    <n v="18000"/>
    <s v="Vacant"/>
    <x v="0"/>
    <x v="3"/>
    <n v="18000"/>
    <s v="High"/>
    <n v="192"/>
    <n v="0"/>
    <n v="0"/>
  </r>
  <r>
    <s v="R0038"/>
    <s v="Resident 38"/>
    <x v="0"/>
    <x v="2"/>
    <x v="36"/>
    <d v="2025-09-05T00:00:00"/>
    <d v="2026-04-22T00:00:00"/>
    <n v="18000"/>
    <s v="Vacant"/>
    <x v="1"/>
    <x v="1"/>
    <n v="18000"/>
    <s v="High"/>
    <n v="229"/>
    <n v="0"/>
    <n v="48"/>
  </r>
  <r>
    <s v="R0039"/>
    <s v="Resident 39"/>
    <x v="0"/>
    <x v="1"/>
    <x v="37"/>
    <d v="2025-06-28T00:00:00"/>
    <d v="2026-03-05T00:00:00"/>
    <n v="12000"/>
    <s v="Vacant"/>
    <x v="0"/>
    <x v="2"/>
    <n v="12000"/>
    <s v="Medium"/>
    <n v="250"/>
    <n v="0"/>
    <n v="96"/>
  </r>
  <r>
    <s v="R0040"/>
    <s v="Resident 40"/>
    <x v="0"/>
    <x v="0"/>
    <x v="38"/>
    <d v="2025-08-18T00:00:00"/>
    <d v="2026-02-26T00:00:00"/>
    <n v="8000"/>
    <s v="Occupied"/>
    <x v="0"/>
    <x v="3"/>
    <n v="8000"/>
    <s v="Low"/>
    <n v="192"/>
    <n v="1"/>
    <n v="103"/>
  </r>
  <r>
    <s v="R0041"/>
    <s v="Resident 41"/>
    <x v="2"/>
    <x v="1"/>
    <x v="39"/>
    <d v="2025-12-20T00:00:00"/>
    <d v="2026-09-15T00:00:00"/>
    <n v="12000"/>
    <s v="Vacant"/>
    <x v="1"/>
    <x v="3"/>
    <n v="12000"/>
    <s v="Medium"/>
    <n v="269"/>
    <n v="0"/>
    <n v="0"/>
  </r>
  <r>
    <s v="R0042"/>
    <s v="Resident 42"/>
    <x v="1"/>
    <x v="2"/>
    <x v="40"/>
    <d v="2026-03-20T00:00:00"/>
    <d v="2026-08-18T00:00:00"/>
    <n v="12000"/>
    <s v="Occupied"/>
    <x v="1"/>
    <x v="3"/>
    <n v="12000"/>
    <s v="Medium"/>
    <n v="151"/>
    <n v="1"/>
    <n v="0"/>
  </r>
  <r>
    <s v="R0043"/>
    <s v="Resident 43"/>
    <x v="3"/>
    <x v="0"/>
    <x v="41"/>
    <d v="2026-03-12T00:00:00"/>
    <d v="2026-11-25T00:00:00"/>
    <n v="15000"/>
    <s v="Vacant"/>
    <x v="0"/>
    <x v="1"/>
    <n v="15000"/>
    <s v="High"/>
    <n v="258"/>
    <n v="0"/>
    <n v="0"/>
  </r>
  <r>
    <s v="R0044"/>
    <s v="Resident 44"/>
    <x v="0"/>
    <x v="0"/>
    <x v="42"/>
    <d v="2025-04-16T00:00:00"/>
    <d v="2026-05-28T00:00:00"/>
    <n v="10000"/>
    <s v="Occupied"/>
    <x v="0"/>
    <x v="2"/>
    <n v="10000"/>
    <s v="Medium"/>
    <n v="407"/>
    <n v="1"/>
    <n v="12"/>
  </r>
  <r>
    <s v="R0045"/>
    <s v="Resident 45"/>
    <x v="0"/>
    <x v="1"/>
    <x v="43"/>
    <d v="2025-08-23T00:00:00"/>
    <d v="2026-05-15T00:00:00"/>
    <n v="8000"/>
    <s v="Vacant"/>
    <x v="1"/>
    <x v="1"/>
    <n v="8000"/>
    <s v="Low"/>
    <n v="265"/>
    <n v="0"/>
    <n v="25"/>
  </r>
  <r>
    <s v="R0046"/>
    <s v="Resident 46"/>
    <x v="0"/>
    <x v="0"/>
    <x v="44"/>
    <d v="2025-08-26T00:00:00"/>
    <d v="2026-02-20T00:00:00"/>
    <n v="8000"/>
    <s v="Occupied"/>
    <x v="0"/>
    <x v="2"/>
    <n v="8000"/>
    <s v="Low"/>
    <n v="178"/>
    <n v="1"/>
    <n v="109"/>
  </r>
  <r>
    <s v="R0047"/>
    <s v="Resident 47"/>
    <x v="0"/>
    <x v="0"/>
    <x v="45"/>
    <d v="2026-04-18T00:00:00"/>
    <d v="2027-03-09T00:00:00"/>
    <n v="10000"/>
    <s v="Vacant"/>
    <x v="1"/>
    <x v="0"/>
    <n v="10000"/>
    <s v="Medium"/>
    <n v="325"/>
    <n v="0"/>
    <n v="0"/>
  </r>
  <r>
    <s v="R0048"/>
    <s v="Resident 48"/>
    <x v="1"/>
    <x v="0"/>
    <x v="46"/>
    <d v="2025-09-03T00:00:00"/>
    <d v="2026-05-24T00:00:00"/>
    <n v="12000"/>
    <s v="Vacant"/>
    <x v="0"/>
    <x v="2"/>
    <n v="12000"/>
    <s v="Medium"/>
    <n v="263"/>
    <n v="0"/>
    <n v="16"/>
  </r>
  <r>
    <s v="R0049"/>
    <s v="Resident 49"/>
    <x v="3"/>
    <x v="0"/>
    <x v="47"/>
    <d v="2025-09-18T00:00:00"/>
    <d v="2026-06-06T00:00:00"/>
    <n v="8000"/>
    <s v="Vacant"/>
    <x v="1"/>
    <x v="0"/>
    <n v="8000"/>
    <s v="Low"/>
    <n v="261"/>
    <n v="0"/>
    <n v="3"/>
  </r>
  <r>
    <s v="R0050"/>
    <s v="Resident 50"/>
    <x v="1"/>
    <x v="0"/>
    <x v="48"/>
    <d v="2026-05-10T00:00:00"/>
    <d v="2026-11-16T00:00:00"/>
    <n v="15000"/>
    <s v="Vacant"/>
    <x v="0"/>
    <x v="2"/>
    <n v="15000"/>
    <s v="High"/>
    <n v="189"/>
    <n v="0"/>
    <n v="0"/>
  </r>
  <r>
    <s v="R0051"/>
    <s v="Resident 51"/>
    <x v="2"/>
    <x v="1"/>
    <x v="49"/>
    <d v="2025-08-07T00:00:00"/>
    <d v="2026-06-23T00:00:00"/>
    <n v="15000"/>
    <s v="Vacant"/>
    <x v="0"/>
    <x v="1"/>
    <n v="15000"/>
    <s v="High"/>
    <n v="320"/>
    <n v="0"/>
    <n v="0"/>
  </r>
  <r>
    <s v="R0052"/>
    <s v="Resident 52"/>
    <x v="1"/>
    <x v="0"/>
    <x v="50"/>
    <d v="2025-12-11T00:00:00"/>
    <d v="2026-11-09T00:00:00"/>
    <n v="10000"/>
    <s v="Occupied"/>
    <x v="0"/>
    <x v="2"/>
    <n v="10000"/>
    <s v="Medium"/>
    <n v="333"/>
    <n v="1"/>
    <n v="0"/>
  </r>
  <r>
    <s v="R0053"/>
    <s v="Resident 53"/>
    <x v="2"/>
    <x v="0"/>
    <x v="37"/>
    <d v="2025-06-28T00:00:00"/>
    <d v="2025-12-18T00:00:00"/>
    <n v="10000"/>
    <s v="Occupied"/>
    <x v="0"/>
    <x v="0"/>
    <n v="10000"/>
    <s v="Medium"/>
    <n v="173"/>
    <n v="1"/>
    <n v="173"/>
  </r>
  <r>
    <s v="R0054"/>
    <s v="Resident 54"/>
    <x v="1"/>
    <x v="0"/>
    <x v="51"/>
    <d v="2026-02-20T00:00:00"/>
    <d v="2027-02-06T00:00:00"/>
    <n v="8000"/>
    <s v="Occupied"/>
    <x v="1"/>
    <x v="1"/>
    <n v="8000"/>
    <s v="Low"/>
    <n v="351"/>
    <n v="1"/>
    <n v="0"/>
  </r>
  <r>
    <s v="R0055"/>
    <s v="Resident 55"/>
    <x v="3"/>
    <x v="0"/>
    <x v="52"/>
    <d v="2026-01-22T00:00:00"/>
    <d v="2026-10-24T00:00:00"/>
    <n v="8000"/>
    <s v="Occupied"/>
    <x v="0"/>
    <x v="3"/>
    <n v="8000"/>
    <s v="Low"/>
    <n v="275"/>
    <n v="1"/>
    <n v="0"/>
  </r>
  <r>
    <s v="R0056"/>
    <s v="Resident 56"/>
    <x v="1"/>
    <x v="0"/>
    <x v="53"/>
    <d v="2025-10-08T00:00:00"/>
    <d v="2026-03-30T00:00:00"/>
    <n v="12000"/>
    <s v="Occupied"/>
    <x v="0"/>
    <x v="3"/>
    <n v="12000"/>
    <s v="Medium"/>
    <n v="173"/>
    <n v="1"/>
    <n v="71"/>
  </r>
  <r>
    <s v="R0057"/>
    <s v="Resident 57"/>
    <x v="3"/>
    <x v="1"/>
    <x v="54"/>
    <d v="2025-11-19T00:00:00"/>
    <d v="2026-02-23T00:00:00"/>
    <n v="12000"/>
    <s v="Occupied"/>
    <x v="0"/>
    <x v="1"/>
    <n v="12000"/>
    <s v="Medium"/>
    <n v="96"/>
    <n v="1"/>
    <n v="106"/>
  </r>
  <r>
    <s v="R0058"/>
    <s v="Resident 58"/>
    <x v="1"/>
    <x v="0"/>
    <x v="55"/>
    <d v="2026-04-15T00:00:00"/>
    <d v="2026-08-03T00:00:00"/>
    <n v="15000"/>
    <s v="Occupied"/>
    <x v="0"/>
    <x v="0"/>
    <n v="15000"/>
    <s v="High"/>
    <n v="110"/>
    <n v="1"/>
    <n v="0"/>
  </r>
  <r>
    <s v="R0059"/>
    <s v="Resident 59"/>
    <x v="2"/>
    <x v="1"/>
    <x v="56"/>
    <d v="2025-04-12T00:00:00"/>
    <d v="2026-05-01T00:00:00"/>
    <n v="15000"/>
    <s v="Occupied"/>
    <x v="1"/>
    <x v="3"/>
    <n v="15000"/>
    <s v="High"/>
    <n v="384"/>
    <n v="1"/>
    <n v="39"/>
  </r>
  <r>
    <s v="R0060"/>
    <s v="Resident 60"/>
    <x v="3"/>
    <x v="0"/>
    <x v="5"/>
    <d v="2025-01-23T00:00:00"/>
    <d v="2025-05-24T00:00:00"/>
    <n v="10000"/>
    <s v="Vacant"/>
    <x v="0"/>
    <x v="0"/>
    <n v="10000"/>
    <s v="Medium"/>
    <n v="121"/>
    <n v="0"/>
    <n v="381"/>
  </r>
  <r>
    <s v="R0061"/>
    <s v="Resident 61"/>
    <x v="0"/>
    <x v="0"/>
    <x v="57"/>
    <d v="2025-02-21T00:00:00"/>
    <d v="2025-12-08T00:00:00"/>
    <n v="10000"/>
    <s v="Occupied"/>
    <x v="1"/>
    <x v="2"/>
    <n v="10000"/>
    <s v="Medium"/>
    <n v="290"/>
    <n v="1"/>
    <n v="183"/>
  </r>
  <r>
    <s v="R0062"/>
    <s v="Resident 62"/>
    <x v="2"/>
    <x v="1"/>
    <x v="58"/>
    <d v="2025-06-02T00:00:00"/>
    <d v="2026-02-21T00:00:00"/>
    <n v="15000"/>
    <s v="Vacant"/>
    <x v="0"/>
    <x v="0"/>
    <n v="15000"/>
    <s v="High"/>
    <n v="264"/>
    <n v="0"/>
    <n v="108"/>
  </r>
  <r>
    <s v="R0063"/>
    <s v="Resident 63"/>
    <x v="0"/>
    <x v="1"/>
    <x v="59"/>
    <d v="2025-06-06T00:00:00"/>
    <d v="2026-01-18T00:00:00"/>
    <n v="10000"/>
    <s v="Occupied"/>
    <x v="0"/>
    <x v="2"/>
    <n v="10000"/>
    <s v="Medium"/>
    <n v="226"/>
    <n v="1"/>
    <n v="142"/>
  </r>
  <r>
    <s v="R0064"/>
    <s v="Resident 64"/>
    <x v="3"/>
    <x v="0"/>
    <x v="60"/>
    <d v="2025-09-20T00:00:00"/>
    <d v="2026-04-16T00:00:00"/>
    <n v="12000"/>
    <s v="Vacant"/>
    <x v="0"/>
    <x v="2"/>
    <n v="12000"/>
    <s v="Medium"/>
    <n v="208"/>
    <n v="0"/>
    <n v="54"/>
  </r>
  <r>
    <s v="R0065"/>
    <s v="Resident 65"/>
    <x v="1"/>
    <x v="0"/>
    <x v="14"/>
    <d v="2025-08-01T00:00:00"/>
    <d v="2026-03-26T00:00:00"/>
    <n v="12000"/>
    <s v="Occupied"/>
    <x v="0"/>
    <x v="1"/>
    <n v="12000"/>
    <s v="Medium"/>
    <n v="237"/>
    <n v="1"/>
    <n v="75"/>
  </r>
  <r>
    <s v="R0066"/>
    <s v="Resident 66"/>
    <x v="1"/>
    <x v="0"/>
    <x v="61"/>
    <d v="2025-08-06T00:00:00"/>
    <d v="2026-07-26T00:00:00"/>
    <n v="15000"/>
    <s v="Vacant"/>
    <x v="0"/>
    <x v="3"/>
    <n v="15000"/>
    <s v="High"/>
    <n v="354"/>
    <n v="0"/>
    <n v="0"/>
  </r>
  <r>
    <s v="R0067"/>
    <s v="Resident 67"/>
    <x v="3"/>
    <x v="0"/>
    <x v="62"/>
    <d v="2025-10-06T00:00:00"/>
    <d v="2026-05-12T00:00:00"/>
    <n v="10000"/>
    <s v="Occupied"/>
    <x v="0"/>
    <x v="0"/>
    <n v="10000"/>
    <s v="Medium"/>
    <n v="-5"/>
    <n v="1"/>
    <n v="28"/>
  </r>
  <r>
    <s v="R0068"/>
    <s v="Resident 68"/>
    <x v="3"/>
    <x v="1"/>
    <x v="63"/>
    <d v="2026-01-19T00:00:00"/>
    <d v="2026-10-09T00:00:00"/>
    <n v="12000"/>
    <s v="Occupied"/>
    <x v="0"/>
    <x v="1"/>
    <n v="12000"/>
    <s v="Medium"/>
    <n v="263"/>
    <n v="1"/>
    <n v="0"/>
  </r>
  <r>
    <s v="R0069"/>
    <s v="Resident 69"/>
    <x v="3"/>
    <x v="0"/>
    <x v="64"/>
    <d v="2026-02-02T00:00:00"/>
    <d v="2026-06-27T00:00:00"/>
    <n v="8000"/>
    <s v="Occupied"/>
    <x v="0"/>
    <x v="2"/>
    <n v="8000"/>
    <s v="Low"/>
    <n v="145"/>
    <n v="1"/>
    <n v="0"/>
  </r>
  <r>
    <s v="R0070"/>
    <s v="Resident 70"/>
    <x v="2"/>
    <x v="0"/>
    <x v="65"/>
    <d v="2026-05-08T00:00:00"/>
    <d v="2026-08-13T00:00:00"/>
    <n v="10000"/>
    <s v="Vacant"/>
    <x v="1"/>
    <x v="1"/>
    <n v="10000"/>
    <s v="Medium"/>
    <n v="97"/>
    <n v="0"/>
    <n v="0"/>
  </r>
  <r>
    <s v="R0071"/>
    <s v="Resident 71"/>
    <x v="2"/>
    <x v="0"/>
    <x v="66"/>
    <d v="2026-04-03T00:00:00"/>
    <d v="2026-09-22T00:00:00"/>
    <n v="12000"/>
    <s v="Occupied"/>
    <x v="0"/>
    <x v="1"/>
    <n v="12000"/>
    <s v="Medium"/>
    <n v="172"/>
    <n v="1"/>
    <n v="0"/>
  </r>
  <r>
    <s v="R0072"/>
    <s v="Resident 72"/>
    <x v="2"/>
    <x v="0"/>
    <x v="67"/>
    <d v="2026-02-16T00:00:00"/>
    <d v="2026-09-13T00:00:00"/>
    <n v="18000"/>
    <s v="Occupied"/>
    <x v="0"/>
    <x v="0"/>
    <n v="18000"/>
    <s v="High"/>
    <n v="209"/>
    <n v="1"/>
    <n v="0"/>
  </r>
  <r>
    <s v="R0073"/>
    <s v="Resident 73"/>
    <x v="0"/>
    <x v="1"/>
    <x v="68"/>
    <d v="2025-12-04T00:00:00"/>
    <d v="2026-07-30T00:00:00"/>
    <n v="15000"/>
    <s v="Vacant"/>
    <x v="1"/>
    <x v="3"/>
    <n v="15000"/>
    <s v="High"/>
    <n v="238"/>
    <n v="0"/>
    <n v="0"/>
  </r>
  <r>
    <s v="R0074"/>
    <s v="Resident 74"/>
    <x v="3"/>
    <x v="0"/>
    <x v="69"/>
    <d v="2026-05-30T00:00:00"/>
    <d v="2026-04-23T00:00:00"/>
    <n v="12000"/>
    <s v="Occupied"/>
    <x v="0"/>
    <x v="2"/>
    <n v="12000"/>
    <s v="Medium"/>
    <n v="-37"/>
    <n v="1"/>
    <n v="47"/>
  </r>
  <r>
    <s v="R0075"/>
    <s v="Resident 75"/>
    <x v="3"/>
    <x v="1"/>
    <x v="20"/>
    <d v="2026-02-11T00:00:00"/>
    <d v="2026-08-06T00:00:00"/>
    <n v="12000"/>
    <s v="Occupied"/>
    <x v="0"/>
    <x v="2"/>
    <n v="12000"/>
    <s v="Medium"/>
    <n v="176"/>
    <n v="1"/>
    <n v="0"/>
  </r>
  <r>
    <s v="R0076"/>
    <s v="Resident 76"/>
    <x v="2"/>
    <x v="1"/>
    <x v="70"/>
    <d v="2026-04-04T00:00:00"/>
    <d v="2026-08-03T00:00:00"/>
    <n v="15000"/>
    <s v="Occupied"/>
    <x v="1"/>
    <x v="3"/>
    <n v="15000"/>
    <s v="High"/>
    <n v="121"/>
    <n v="1"/>
    <n v="0"/>
  </r>
  <r>
    <s v="R0077"/>
    <s v="Resident 77"/>
    <x v="1"/>
    <x v="0"/>
    <x v="71"/>
    <d v="2026-04-23T00:00:00"/>
    <d v="2027-01-11T00:00:00"/>
    <n v="12000"/>
    <s v="Occupied"/>
    <x v="0"/>
    <x v="2"/>
    <n v="12000"/>
    <s v="Medium"/>
    <n v="263"/>
    <n v="1"/>
    <n v="0"/>
  </r>
  <r>
    <s v="R0078"/>
    <s v="Resident 78"/>
    <x v="1"/>
    <x v="0"/>
    <x v="17"/>
    <d v="2025-05-02T00:00:00"/>
    <d v="2026-04-14T00:00:00"/>
    <n v="15000"/>
    <s v="Occupied"/>
    <x v="0"/>
    <x v="0"/>
    <n v="15000"/>
    <s v="High"/>
    <n v="347"/>
    <n v="1"/>
    <n v="56"/>
  </r>
  <r>
    <s v="R0079"/>
    <s v="Resident 79"/>
    <x v="1"/>
    <x v="0"/>
    <x v="72"/>
    <d v="2025-09-29T00:00:00"/>
    <d v="2026-08-04T00:00:00"/>
    <n v="12000"/>
    <s v="Occupied"/>
    <x v="1"/>
    <x v="1"/>
    <n v="12000"/>
    <s v="Medium"/>
    <n v="309"/>
    <n v="1"/>
    <n v="0"/>
  </r>
  <r>
    <s v="R0080"/>
    <s v="Resident 80"/>
    <x v="0"/>
    <x v="2"/>
    <x v="73"/>
    <d v="2025-05-06T00:00:00"/>
    <d v="2025-12-18T00:00:00"/>
    <n v="12000"/>
    <s v="Vacant"/>
    <x v="1"/>
    <x v="1"/>
    <n v="12000"/>
    <s v="Medium"/>
    <n v="226"/>
    <n v="0"/>
    <n v="173"/>
  </r>
  <r>
    <s v="R0081"/>
    <s v="Resident 81"/>
    <x v="1"/>
    <x v="2"/>
    <x v="74"/>
    <d v="2025-05-13T00:00:00"/>
    <d v="2026-01-05T00:00:00"/>
    <n v="10000"/>
    <s v="Vacant"/>
    <x v="1"/>
    <x v="3"/>
    <n v="10000"/>
    <s v="Medium"/>
    <n v="237"/>
    <n v="0"/>
    <n v="155"/>
  </r>
  <r>
    <s v="R0082"/>
    <s v="Resident 82"/>
    <x v="3"/>
    <x v="1"/>
    <x v="75"/>
    <d v="2025-03-30T00:00:00"/>
    <d v="2025-10-01T00:00:00"/>
    <n v="12000"/>
    <s v="Vacant"/>
    <x v="1"/>
    <x v="1"/>
    <n v="12000"/>
    <s v="Medium"/>
    <n v="185"/>
    <n v="0"/>
    <n v="251"/>
  </r>
  <r>
    <s v="R0083"/>
    <s v="Resident 83"/>
    <x v="3"/>
    <x v="0"/>
    <x v="66"/>
    <d v="2026-04-03T00:00:00"/>
    <d v="2026-07-18T00:00:00"/>
    <n v="15000"/>
    <s v="Vacant"/>
    <x v="1"/>
    <x v="3"/>
    <n v="15000"/>
    <s v="High"/>
    <n v="106"/>
    <n v="0"/>
    <n v="0"/>
  </r>
  <r>
    <s v="R0084"/>
    <s v="Resident 84"/>
    <x v="2"/>
    <x v="0"/>
    <x v="76"/>
    <d v="2025-12-01T00:00:00"/>
    <d v="2026-03-27T00:00:00"/>
    <n v="18000"/>
    <s v="Occupied"/>
    <x v="0"/>
    <x v="2"/>
    <n v="18000"/>
    <s v="High"/>
    <n v="-60"/>
    <n v="1"/>
    <n v="74"/>
  </r>
  <r>
    <s v="R0085"/>
    <s v="Resident 85"/>
    <x v="1"/>
    <x v="1"/>
    <x v="77"/>
    <d v="2025-05-20T00:00:00"/>
    <d v="2026-02-10T00:00:00"/>
    <n v="12000"/>
    <s v="Occupied"/>
    <x v="1"/>
    <x v="3"/>
    <n v="12000"/>
    <s v="Medium"/>
    <n v="266"/>
    <n v="1"/>
    <n v="119"/>
  </r>
  <r>
    <s v="R0086"/>
    <s v="Resident 86"/>
    <x v="2"/>
    <x v="2"/>
    <x v="21"/>
    <d v="2025-02-12T00:00:00"/>
    <d v="2026-01-19T00:00:00"/>
    <n v="18000"/>
    <s v="Occupied"/>
    <x v="0"/>
    <x v="2"/>
    <n v="18000"/>
    <s v="High"/>
    <n v="341"/>
    <n v="1"/>
    <n v="141"/>
  </r>
  <r>
    <s v="R0087"/>
    <s v="Resident 87"/>
    <x v="2"/>
    <x v="1"/>
    <x v="78"/>
    <d v="2025-08-17T00:00:00"/>
    <d v="2025-11-23T00:00:00"/>
    <n v="10000"/>
    <s v="Vacant"/>
    <x v="0"/>
    <x v="3"/>
    <n v="10000"/>
    <s v="Medium"/>
    <n v="98"/>
    <n v="0"/>
    <n v="198"/>
  </r>
  <r>
    <s v="R0088"/>
    <s v="Resident 88"/>
    <x v="0"/>
    <x v="2"/>
    <x v="79"/>
    <d v="2026-01-11T00:00:00"/>
    <d v="2026-11-28T00:00:00"/>
    <n v="10000"/>
    <s v="Vacant"/>
    <x v="0"/>
    <x v="0"/>
    <n v="10000"/>
    <s v="Medium"/>
    <n v="321"/>
    <n v="0"/>
    <n v="0"/>
  </r>
  <r>
    <s v="R0089"/>
    <s v="Resident 89"/>
    <x v="1"/>
    <x v="0"/>
    <x v="80"/>
    <d v="2025-07-28T00:00:00"/>
    <d v="2026-04-20T00:00:00"/>
    <n v="18000"/>
    <s v="Occupied"/>
    <x v="1"/>
    <x v="0"/>
    <n v="18000"/>
    <s v="High"/>
    <n v="266"/>
    <n v="1"/>
    <n v="50"/>
  </r>
  <r>
    <s v="R0090"/>
    <s v="Resident 90"/>
    <x v="2"/>
    <x v="0"/>
    <x v="81"/>
    <d v="2025-07-07T00:00:00"/>
    <d v="2026-01-11T00:00:00"/>
    <n v="8000"/>
    <s v="Occupied"/>
    <x v="0"/>
    <x v="0"/>
    <n v="8000"/>
    <s v="Low"/>
    <n v="188"/>
    <n v="1"/>
    <n v="149"/>
  </r>
  <r>
    <s v="R0091"/>
    <s v="Resident 91"/>
    <x v="3"/>
    <x v="2"/>
    <x v="82"/>
    <d v="2025-09-13T00:00:00"/>
    <d v="2025-12-27T00:00:00"/>
    <n v="12000"/>
    <s v="Vacant"/>
    <x v="1"/>
    <x v="0"/>
    <n v="12000"/>
    <s v="Medium"/>
    <n v="105"/>
    <n v="0"/>
    <n v="164"/>
  </r>
  <r>
    <s v="R0092"/>
    <s v="Resident 92"/>
    <x v="0"/>
    <x v="1"/>
    <x v="83"/>
    <d v="2026-04-21T00:00:00"/>
    <d v="2026-10-22T00:00:00"/>
    <n v="18000"/>
    <s v="Vacant"/>
    <x v="1"/>
    <x v="2"/>
    <n v="18000"/>
    <s v="High"/>
    <n v="184"/>
    <n v="0"/>
    <n v="0"/>
  </r>
  <r>
    <s v="R0093"/>
    <s v="Resident 93"/>
    <x v="3"/>
    <x v="2"/>
    <x v="84"/>
    <d v="2025-09-14T00:00:00"/>
    <d v="2026-09-08T00:00:00"/>
    <n v="10000"/>
    <s v="Occupied"/>
    <x v="1"/>
    <x v="2"/>
    <n v="10000"/>
    <s v="Medium"/>
    <n v="359"/>
    <n v="1"/>
    <n v="0"/>
  </r>
  <r>
    <s v="R0094"/>
    <s v="Resident 94"/>
    <x v="0"/>
    <x v="2"/>
    <x v="85"/>
    <d v="2025-02-06T00:00:00"/>
    <d v="2025-11-16T00:00:00"/>
    <n v="15000"/>
    <s v="Vacant"/>
    <x v="0"/>
    <x v="3"/>
    <n v="15000"/>
    <s v="High"/>
    <n v="283"/>
    <n v="0"/>
    <n v="205"/>
  </r>
  <r>
    <s v="R0095"/>
    <s v="Resident 95"/>
    <x v="2"/>
    <x v="0"/>
    <x v="86"/>
    <d v="2026-02-05T00:00:00"/>
    <d v="2027-02-01T00:00:00"/>
    <n v="18000"/>
    <s v="Vacant"/>
    <x v="1"/>
    <x v="0"/>
    <n v="18000"/>
    <s v="High"/>
    <n v="361"/>
    <n v="0"/>
    <n v="0"/>
  </r>
  <r>
    <s v="R0096"/>
    <s v="Resident 96"/>
    <x v="2"/>
    <x v="0"/>
    <x v="87"/>
    <d v="2025-11-01T00:00:00"/>
    <d v="2026-02-06T00:00:00"/>
    <n v="10000"/>
    <s v="Occupied"/>
    <x v="0"/>
    <x v="3"/>
    <n v="10000"/>
    <s v="Medium"/>
    <n v="97"/>
    <n v="1"/>
    <n v="123"/>
  </r>
  <r>
    <s v="R0097"/>
    <s v="Resident 97"/>
    <x v="2"/>
    <x v="1"/>
    <x v="1"/>
    <d v="2026-01-06T00:00:00"/>
    <d v="2026-05-31T00:00:00"/>
    <n v="18000"/>
    <s v="Occupied"/>
    <x v="0"/>
    <x v="3"/>
    <n v="18000"/>
    <s v="High"/>
    <n v="145"/>
    <n v="1"/>
    <n v="9"/>
  </r>
  <r>
    <s v="R0098"/>
    <s v="Resident 98"/>
    <x v="0"/>
    <x v="1"/>
    <x v="88"/>
    <d v="2025-03-29T00:00:00"/>
    <d v="2025-09-12T00:00:00"/>
    <n v="12000"/>
    <s v="Occupied"/>
    <x v="1"/>
    <x v="2"/>
    <n v="12000"/>
    <s v="Medium"/>
    <n v="167"/>
    <n v="1"/>
    <n v="270"/>
  </r>
  <r>
    <s v="R0099"/>
    <s v="Resident 99"/>
    <x v="0"/>
    <x v="2"/>
    <x v="89"/>
    <d v="2025-12-07T00:00:00"/>
    <d v="2026-10-27T00:00:00"/>
    <n v="12000"/>
    <s v="Vacant"/>
    <x v="1"/>
    <x v="1"/>
    <n v="12000"/>
    <s v="Medium"/>
    <n v="324"/>
    <n v="0"/>
    <n v="0"/>
  </r>
  <r>
    <s v="R0100"/>
    <s v="Resident 100"/>
    <x v="1"/>
    <x v="0"/>
    <x v="67"/>
    <d v="2026-02-16T00:00:00"/>
    <d v="2026-08-22T00:00:00"/>
    <n v="15000"/>
    <s v="Vacant"/>
    <x v="1"/>
    <x v="1"/>
    <n v="15000"/>
    <s v="High"/>
    <n v="187"/>
    <n v="0"/>
    <n v="0"/>
  </r>
  <r>
    <s v="R0101"/>
    <s v="Resident 101"/>
    <x v="3"/>
    <x v="0"/>
    <x v="15"/>
    <d v="2025-03-06T00:00:00"/>
    <d v="2025-09-23T00:00:00"/>
    <n v="15000"/>
    <s v="Vacant"/>
    <x v="0"/>
    <x v="3"/>
    <n v="15000"/>
    <s v="High"/>
    <n v="-224"/>
    <n v="0"/>
    <n v="259"/>
  </r>
  <r>
    <s v="R0102"/>
    <s v="Resident 102"/>
    <x v="3"/>
    <x v="0"/>
    <x v="77"/>
    <d v="2025-05-20T00:00:00"/>
    <d v="2026-01-18T00:00:00"/>
    <n v="12000"/>
    <s v="Occupied"/>
    <x v="0"/>
    <x v="1"/>
    <n v="12000"/>
    <s v="Medium"/>
    <n v="243"/>
    <n v="1"/>
    <n v="142"/>
  </r>
  <r>
    <s v="R0103"/>
    <s v="Resident 103"/>
    <x v="3"/>
    <x v="2"/>
    <x v="6"/>
    <d v="2025-10-22T00:00:00"/>
    <d v="2026-06-13T00:00:00"/>
    <n v="12000"/>
    <s v="Vacant"/>
    <x v="0"/>
    <x v="0"/>
    <n v="12000"/>
    <s v="Medium"/>
    <n v="234"/>
    <n v="0"/>
    <n v="0"/>
  </r>
  <r>
    <s v="R0104"/>
    <s v="Resident 104"/>
    <x v="2"/>
    <x v="0"/>
    <x v="90"/>
    <d v="2026-03-22T00:00:00"/>
    <d v="2026-04-09T00:00:00"/>
    <n v="15000"/>
    <s v="Occupied"/>
    <x v="0"/>
    <x v="2"/>
    <n v="15000"/>
    <s v="High"/>
    <n v="18"/>
    <n v="1"/>
    <n v="61"/>
  </r>
  <r>
    <s v="R0105"/>
    <s v="Resident 105"/>
    <x v="1"/>
    <x v="0"/>
    <x v="91"/>
    <d v="2025-04-06T00:00:00"/>
    <d v="2026-02-22T00:00:00"/>
    <n v="10000"/>
    <s v="Vacant"/>
    <x v="0"/>
    <x v="3"/>
    <n v="10000"/>
    <s v="Medium"/>
    <n v="322"/>
    <n v="0"/>
    <n v="107"/>
  </r>
  <r>
    <s v="R0106"/>
    <s v="Resident 106"/>
    <x v="0"/>
    <x v="1"/>
    <x v="92"/>
    <d v="2025-09-02T00:00:00"/>
    <d v="2026-01-17T00:00:00"/>
    <n v="12000"/>
    <s v="Vacant"/>
    <x v="1"/>
    <x v="0"/>
    <n v="12000"/>
    <s v="Medium"/>
    <n v="137"/>
    <n v="0"/>
    <n v="143"/>
  </r>
  <r>
    <s v="R0107"/>
    <s v="Resident 107"/>
    <x v="3"/>
    <x v="2"/>
    <x v="93"/>
    <d v="2025-10-07T00:00:00"/>
    <d v="2026-09-08T00:00:00"/>
    <n v="18000"/>
    <s v="Vacant"/>
    <x v="1"/>
    <x v="0"/>
    <n v="18000"/>
    <s v="High"/>
    <n v="336"/>
    <n v="0"/>
    <n v="0"/>
  </r>
  <r>
    <s v="R0108"/>
    <s v="Resident 108"/>
    <x v="0"/>
    <x v="1"/>
    <x v="94"/>
    <d v="2026-02-15T00:00:00"/>
    <d v="2026-06-12T00:00:00"/>
    <n v="10000"/>
    <s v="Occupied"/>
    <x v="0"/>
    <x v="1"/>
    <n v="10000"/>
    <s v="Medium"/>
    <n v="117"/>
    <n v="1"/>
    <n v="0"/>
  </r>
  <r>
    <s v="R0109"/>
    <s v="Resident 109"/>
    <x v="0"/>
    <x v="0"/>
    <x v="95"/>
    <d v="2025-05-11T00:00:00"/>
    <d v="2025-11-14T00:00:00"/>
    <n v="8000"/>
    <s v="Occupied"/>
    <x v="0"/>
    <x v="3"/>
    <n v="8000"/>
    <s v="Low"/>
    <n v="187"/>
    <n v="1"/>
    <n v="207"/>
  </r>
  <r>
    <s v="R0110"/>
    <s v="Resident 110"/>
    <x v="2"/>
    <x v="2"/>
    <x v="96"/>
    <d v="2025-12-01T00:00:00"/>
    <d v="2026-05-31T00:00:00"/>
    <n v="15000"/>
    <s v="Occupied"/>
    <x v="0"/>
    <x v="0"/>
    <n v="15000"/>
    <s v="High"/>
    <n v="181"/>
    <n v="1"/>
    <n v="9"/>
  </r>
  <r>
    <s v="R0111"/>
    <s v="Resident 111"/>
    <x v="0"/>
    <x v="0"/>
    <x v="97"/>
    <d v="2026-03-16T00:00:00"/>
    <d v="2026-07-08T00:00:00"/>
    <n v="8000"/>
    <s v="Vacant"/>
    <x v="0"/>
    <x v="2"/>
    <n v="8000"/>
    <s v="Low"/>
    <n v="114"/>
    <n v="0"/>
    <n v="0"/>
  </r>
  <r>
    <s v="R0112"/>
    <s v="Resident 112"/>
    <x v="1"/>
    <x v="0"/>
    <x v="98"/>
    <d v="2025-10-18T00:00:00"/>
    <d v="2026-05-13T00:00:00"/>
    <n v="8000"/>
    <s v="Vacant"/>
    <x v="0"/>
    <x v="3"/>
    <n v="8000"/>
    <s v="Low"/>
    <n v="207"/>
    <n v="0"/>
    <n v="27"/>
  </r>
  <r>
    <s v="R0113"/>
    <s v="Resident 113"/>
    <x v="1"/>
    <x v="2"/>
    <x v="38"/>
    <d v="2025-08-18T00:00:00"/>
    <d v="2026-07-27T00:00:00"/>
    <n v="15000"/>
    <s v="Occupied"/>
    <x v="1"/>
    <x v="3"/>
    <n v="15000"/>
    <s v="High"/>
    <n v="343"/>
    <n v="1"/>
    <n v="0"/>
  </r>
  <r>
    <s v="R0114"/>
    <s v="Resident 114"/>
    <x v="2"/>
    <x v="2"/>
    <x v="99"/>
    <d v="2025-05-18T00:00:00"/>
    <d v="2025-12-30T00:00:00"/>
    <n v="12199"/>
    <s v="Occupied"/>
    <x v="1"/>
    <x v="1"/>
    <n v="12199"/>
    <s v="Medium"/>
    <n v="226"/>
    <n v="1"/>
    <n v="161"/>
  </r>
  <r>
    <s v="R0115"/>
    <s v="Resident 115"/>
    <x v="3"/>
    <x v="0"/>
    <x v="100"/>
    <d v="2026-03-14T00:00:00"/>
    <d v="2027-01-21T00:00:00"/>
    <n v="12000"/>
    <s v="Occupied"/>
    <x v="1"/>
    <x v="3"/>
    <n v="12000"/>
    <s v="Medium"/>
    <n v="313"/>
    <n v="1"/>
    <n v="0"/>
  </r>
  <r>
    <s v="R0116"/>
    <s v="Resident 116"/>
    <x v="3"/>
    <x v="0"/>
    <x v="101"/>
    <d v="2025-11-27T00:00:00"/>
    <d v="2026-06-10T00:00:00"/>
    <n v="8000"/>
    <s v="Vacant"/>
    <x v="1"/>
    <x v="2"/>
    <n v="8000"/>
    <s v="Low"/>
    <n v="195"/>
    <n v="0"/>
    <n v="0"/>
  </r>
  <r>
    <s v="R0117"/>
    <s v="Resident 117"/>
    <x v="1"/>
    <x v="0"/>
    <x v="102"/>
    <d v="2025-09-27T00:00:00"/>
    <d v="2026-06-04T00:00:00"/>
    <n v="12000"/>
    <s v="Occupied"/>
    <x v="0"/>
    <x v="3"/>
    <n v="12000"/>
    <s v="Medium"/>
    <n v="250"/>
    <n v="1"/>
    <n v="5"/>
  </r>
  <r>
    <s v="R0118"/>
    <s v="Resident 118"/>
    <x v="3"/>
    <x v="1"/>
    <x v="103"/>
    <d v="2026-03-01T00:00:00"/>
    <d v="2027-02-21T00:00:00"/>
    <n v="10000"/>
    <s v="Occupied"/>
    <x v="0"/>
    <x v="3"/>
    <n v="10000"/>
    <s v="Medium"/>
    <n v="273"/>
    <n v="1"/>
    <n v="0"/>
  </r>
  <r>
    <s v="R0119"/>
    <s v="Resident 119"/>
    <x v="2"/>
    <x v="2"/>
    <x v="104"/>
    <d v="2025-08-25T00:00:00"/>
    <d v="2026-05-14T00:00:00"/>
    <n v="8000"/>
    <s v="Occupied"/>
    <x v="0"/>
    <x v="1"/>
    <n v="8000"/>
    <s v="Low"/>
    <n v="262"/>
    <n v="1"/>
    <n v="26"/>
  </r>
  <r>
    <s v="R0120"/>
    <s v="Resident 120"/>
    <x v="1"/>
    <x v="1"/>
    <x v="105"/>
    <d v="2025-08-05T00:00:00"/>
    <d v="2026-07-03T00:00:00"/>
    <n v="10000"/>
    <s v="Occupied"/>
    <x v="0"/>
    <x v="0"/>
    <n v="10000"/>
    <s v="Medium"/>
    <n v="332"/>
    <n v="1"/>
    <n v="0"/>
  </r>
  <r>
    <s v="R0121"/>
    <s v="Resident 121"/>
    <x v="0"/>
    <x v="0"/>
    <x v="106"/>
    <d v="2025-10-28T00:00:00"/>
    <d v="2026-02-16T00:00:00"/>
    <n v="8000"/>
    <s v="Occupied"/>
    <x v="0"/>
    <x v="3"/>
    <n v="8000"/>
    <s v="Low"/>
    <n v="111"/>
    <n v="1"/>
    <n v="113"/>
  </r>
  <r>
    <s v="R0122"/>
    <s v="Resident 122"/>
    <x v="3"/>
    <x v="0"/>
    <x v="107"/>
    <d v="2025-05-17T00:00:00"/>
    <d v="2026-05-14T00:00:00"/>
    <n v="12000"/>
    <s v="Occupied"/>
    <x v="1"/>
    <x v="3"/>
    <n v="12000"/>
    <s v="Medium"/>
    <n v="362"/>
    <n v="1"/>
    <n v="26"/>
  </r>
  <r>
    <s v="R0123"/>
    <s v="Resident 123"/>
    <x v="3"/>
    <x v="0"/>
    <x v="104"/>
    <d v="2025-08-25T00:00:00"/>
    <d v="2026-08-23T00:00:00"/>
    <n v="10000"/>
    <s v="Occupied"/>
    <x v="1"/>
    <x v="1"/>
    <n v="10000"/>
    <s v="Medium"/>
    <n v="363"/>
    <n v="1"/>
    <n v="0"/>
  </r>
  <r>
    <s v="R0124"/>
    <s v="Resident 124"/>
    <x v="2"/>
    <x v="0"/>
    <x v="99"/>
    <d v="2025-05-18T00:00:00"/>
    <d v="2026-02-05T00:00:00"/>
    <n v="12000"/>
    <s v="Vacant"/>
    <x v="0"/>
    <x v="1"/>
    <n v="12000"/>
    <s v="Medium"/>
    <n v="263"/>
    <n v="0"/>
    <n v="124"/>
  </r>
  <r>
    <s v="R0125"/>
    <s v="Resident 125"/>
    <x v="0"/>
    <x v="0"/>
    <x v="108"/>
    <d v="2025-09-06T00:00:00"/>
    <d v="2026-05-13T00:00:00"/>
    <n v="15000"/>
    <s v="Vacant"/>
    <x v="0"/>
    <x v="0"/>
    <n v="15000"/>
    <s v="High"/>
    <n v="249"/>
    <n v="0"/>
    <n v="27"/>
  </r>
  <r>
    <s v="R0126"/>
    <s v="Resident 126"/>
    <x v="2"/>
    <x v="0"/>
    <x v="102"/>
    <d v="2025-09-27T00:00:00"/>
    <d v="2026-08-05T00:00:00"/>
    <n v="18000"/>
    <s v="Occupied"/>
    <x v="1"/>
    <x v="1"/>
    <n v="18000"/>
    <s v="High"/>
    <n v="312"/>
    <n v="1"/>
    <n v="0"/>
  </r>
  <r>
    <s v="R0127"/>
    <s v="Resident 127"/>
    <x v="3"/>
    <x v="0"/>
    <x v="109"/>
    <d v="2026-05-29T00:00:00"/>
    <d v="2026-10-17T00:00:00"/>
    <n v="12000"/>
    <s v="Vacant"/>
    <x v="0"/>
    <x v="2"/>
    <n v="12000"/>
    <s v="Medium"/>
    <n v="141"/>
    <n v="0"/>
    <n v="0"/>
  </r>
  <r>
    <s v="R0128"/>
    <s v="Resident 128"/>
    <x v="3"/>
    <x v="0"/>
    <x v="110"/>
    <d v="2025-05-21T00:00:00"/>
    <d v="2026-04-21T00:00:00"/>
    <n v="8000"/>
    <s v="Vacant"/>
    <x v="1"/>
    <x v="2"/>
    <n v="8000"/>
    <s v="Low"/>
    <n v="335"/>
    <n v="0"/>
    <n v="49"/>
  </r>
  <r>
    <s v="R0129"/>
    <s v="Resident 129"/>
    <x v="2"/>
    <x v="0"/>
    <x v="111"/>
    <d v="2026-02-24T00:00:00"/>
    <d v="2026-07-05T00:00:00"/>
    <n v="12000"/>
    <s v="Vacant"/>
    <x v="1"/>
    <x v="2"/>
    <n v="12000"/>
    <s v="Medium"/>
    <n v="131"/>
    <n v="0"/>
    <n v="0"/>
  </r>
  <r>
    <s v="R0130"/>
    <s v="Resident 130"/>
    <x v="0"/>
    <x v="0"/>
    <x v="30"/>
    <d v="2025-06-04T00:00:00"/>
    <d v="2026-03-24T00:00:00"/>
    <n v="12000"/>
    <s v="Occupied"/>
    <x v="0"/>
    <x v="3"/>
    <n v="12000"/>
    <s v="Medium"/>
    <n v="293"/>
    <n v="1"/>
    <n v="77"/>
  </r>
  <r>
    <s v="R0131"/>
    <s v="Resident 131"/>
    <x v="0"/>
    <x v="1"/>
    <x v="112"/>
    <d v="2025-03-31T00:00:00"/>
    <d v="2026-01-31T00:00:00"/>
    <n v="10000"/>
    <s v="Occupied"/>
    <x v="0"/>
    <x v="1"/>
    <n v="10000"/>
    <s v="Medium"/>
    <n v="306"/>
    <n v="1"/>
    <n v="129"/>
  </r>
  <r>
    <s v="R0132"/>
    <s v="Resident 132"/>
    <x v="0"/>
    <x v="0"/>
    <x v="113"/>
    <d v="2025-08-27T00:00:00"/>
    <d v="2026-04-10T00:00:00"/>
    <n v="18000"/>
    <s v="Vacant"/>
    <x v="0"/>
    <x v="0"/>
    <n v="18000"/>
    <s v="High"/>
    <n v="226"/>
    <n v="0"/>
    <n v="60"/>
  </r>
  <r>
    <s v="R0133"/>
    <s v="Resident 133"/>
    <x v="3"/>
    <x v="2"/>
    <x v="23"/>
    <d v="2025-04-05T00:00:00"/>
    <d v="2026-03-10T00:00:00"/>
    <n v="12000"/>
    <s v="Occupied"/>
    <x v="0"/>
    <x v="2"/>
    <n v="12000"/>
    <s v="Medium"/>
    <n v="339"/>
    <n v="1"/>
    <n v="91"/>
  </r>
  <r>
    <s v="R0134"/>
    <s v="Resident 134"/>
    <x v="0"/>
    <x v="0"/>
    <x v="114"/>
    <d v="2026-04-22T00:00:00"/>
    <d v="2026-04-08T00:00:00"/>
    <n v="12000"/>
    <s v="Occupied"/>
    <x v="1"/>
    <x v="0"/>
    <n v="12000"/>
    <s v="Medium"/>
    <n v="-14"/>
    <n v="1"/>
    <n v="62"/>
  </r>
  <r>
    <s v="R0135"/>
    <s v="Resident 135"/>
    <x v="0"/>
    <x v="0"/>
    <x v="115"/>
    <d v="2026-01-15T00:00:00"/>
    <d v="2026-11-17T00:00:00"/>
    <n v="8000"/>
    <s v="Vacant"/>
    <x v="0"/>
    <x v="3"/>
    <n v="8000"/>
    <s v="Low"/>
    <n v="195"/>
    <n v="0"/>
    <n v="0"/>
  </r>
  <r>
    <s v="R0136"/>
    <s v="Resident 136"/>
    <x v="0"/>
    <x v="2"/>
    <x v="98"/>
    <d v="2025-10-18T00:00:00"/>
    <d v="2026-05-17T00:00:00"/>
    <n v="12000"/>
    <s v="Occupied"/>
    <x v="0"/>
    <x v="0"/>
    <n v="12000"/>
    <s v="Medium"/>
    <n v="211"/>
    <n v="1"/>
    <n v="23"/>
  </r>
  <r>
    <s v="R0137"/>
    <s v="Resident 137"/>
    <x v="1"/>
    <x v="0"/>
    <x v="116"/>
    <d v="2025-08-20T00:00:00"/>
    <d v="2025-12-31T00:00:00"/>
    <n v="8000"/>
    <s v="Occupied"/>
    <x v="0"/>
    <x v="1"/>
    <n v="8000"/>
    <s v="Low"/>
    <n v="133"/>
    <n v="1"/>
    <n v="160"/>
  </r>
  <r>
    <s v="R0138"/>
    <s v="Resident 138"/>
    <x v="2"/>
    <x v="0"/>
    <x v="51"/>
    <d v="2026-02-20T00:00:00"/>
    <d v="2027-02-06T00:00:00"/>
    <n v="18000"/>
    <s v="Occupied"/>
    <x v="1"/>
    <x v="2"/>
    <n v="18000"/>
    <s v="High"/>
    <n v="351"/>
    <n v="1"/>
    <n v="0"/>
  </r>
  <r>
    <s v="R0139"/>
    <s v="Resident 139"/>
    <x v="2"/>
    <x v="1"/>
    <x v="117"/>
    <d v="2025-06-03T00:00:00"/>
    <d v="2025-12-06T00:00:00"/>
    <n v="8000"/>
    <s v="Occupied"/>
    <x v="0"/>
    <x v="1"/>
    <n v="8000"/>
    <s v="Low"/>
    <n v="186"/>
    <n v="1"/>
    <n v="185"/>
  </r>
  <r>
    <s v="R0140"/>
    <s v="Resident 140"/>
    <x v="2"/>
    <x v="2"/>
    <x v="82"/>
    <d v="2025-09-13T00:00:00"/>
    <d v="2026-09-12T00:00:00"/>
    <n v="12000"/>
    <s v="Occupied"/>
    <x v="0"/>
    <x v="0"/>
    <n v="12000"/>
    <s v="Medium"/>
    <n v="364"/>
    <n v="1"/>
    <n v="0"/>
  </r>
  <r>
    <s v="R0141"/>
    <s v="Resident 141"/>
    <x v="0"/>
    <x v="0"/>
    <x v="118"/>
    <d v="2026-02-19T00:00:00"/>
    <d v="2026-05-25T00:00:00"/>
    <n v="15000"/>
    <s v="Occupied"/>
    <x v="1"/>
    <x v="3"/>
    <n v="15000"/>
    <s v="High"/>
    <n v="95"/>
    <n v="1"/>
    <n v="15"/>
  </r>
  <r>
    <s v="R0142"/>
    <s v="Resident 142"/>
    <x v="3"/>
    <x v="0"/>
    <x v="119"/>
    <d v="2026-01-17T00:00:00"/>
    <d v="2026-06-01T00:00:00"/>
    <n v="12000"/>
    <s v="Vacant"/>
    <x v="1"/>
    <x v="2"/>
    <n v="12000"/>
    <s v="Medium"/>
    <n v="135"/>
    <n v="0"/>
    <n v="8"/>
  </r>
  <r>
    <s v="R0143"/>
    <s v="Resident 143"/>
    <x v="2"/>
    <x v="0"/>
    <x v="120"/>
    <d v="2026-04-07T00:00:00"/>
    <d v="2027-02-01T00:00:00"/>
    <n v="8000"/>
    <s v="Vacant"/>
    <x v="1"/>
    <x v="0"/>
    <n v="8000"/>
    <s v="Low"/>
    <n v="300"/>
    <n v="0"/>
    <n v="0"/>
  </r>
  <r>
    <s v="R0144"/>
    <s v="Resident 144"/>
    <x v="0"/>
    <x v="0"/>
    <x v="121"/>
    <d v="2025-08-09T00:00:00"/>
    <d v="2026-01-14T00:00:00"/>
    <n v="18000"/>
    <s v="Occupied"/>
    <x v="0"/>
    <x v="2"/>
    <n v="18000"/>
    <s v="High"/>
    <n v="158"/>
    <n v="1"/>
    <n v="146"/>
  </r>
  <r>
    <s v="R0145"/>
    <s v="Resident 145"/>
    <x v="0"/>
    <x v="2"/>
    <x v="122"/>
    <d v="2025-11-21T00:00:00"/>
    <d v="2026-06-29T00:00:00"/>
    <n v="15000"/>
    <s v="Occupied"/>
    <x v="0"/>
    <x v="1"/>
    <n v="15000"/>
    <s v="High"/>
    <n v="220"/>
    <n v="1"/>
    <n v="0"/>
  </r>
  <r>
    <s v="R0146"/>
    <s v="Resident 146"/>
    <x v="3"/>
    <x v="2"/>
    <x v="123"/>
    <d v="2025-04-03T00:00:00"/>
    <d v="2025-07-29T00:00:00"/>
    <n v="18000"/>
    <s v="Occupied"/>
    <x v="0"/>
    <x v="0"/>
    <n v="18000"/>
    <s v="High"/>
    <n v="117"/>
    <n v="1"/>
    <n v="315"/>
  </r>
  <r>
    <s v="R0147"/>
    <s v="Resident 147"/>
    <x v="0"/>
    <x v="0"/>
    <x v="10"/>
    <d v="2025-09-25T00:00:00"/>
    <d v="2026-07-16T00:00:00"/>
    <n v="10000"/>
    <s v="Vacant"/>
    <x v="1"/>
    <x v="2"/>
    <n v="10000"/>
    <s v="Medium"/>
    <n v="294"/>
    <n v="0"/>
    <n v="0"/>
  </r>
  <r>
    <s v="R0148"/>
    <s v="Resident 148"/>
    <x v="0"/>
    <x v="0"/>
    <x v="124"/>
    <d v="2025-06-10T00:00:00"/>
    <d v="2025-12-15T00:00:00"/>
    <n v="10000"/>
    <s v="Occupied"/>
    <x v="1"/>
    <x v="1"/>
    <n v="10000"/>
    <s v="Medium"/>
    <n v="188"/>
    <n v="1"/>
    <n v="176"/>
  </r>
  <r>
    <s v="R0149"/>
    <s v="Resident 149"/>
    <x v="1"/>
    <x v="1"/>
    <x v="125"/>
    <d v="2025-12-25T00:00:00"/>
    <d v="2026-05-03T00:00:00"/>
    <n v="18000"/>
    <s v="Occupied"/>
    <x v="0"/>
    <x v="3"/>
    <n v="18000"/>
    <s v="High"/>
    <n v="129"/>
    <n v="1"/>
    <n v="37"/>
  </r>
  <r>
    <s v="R0150"/>
    <s v="Resident 150"/>
    <x v="2"/>
    <x v="0"/>
    <x v="126"/>
    <d v="2025-02-16T00:00:00"/>
    <d v="2025-09-27T00:00:00"/>
    <n v="10000"/>
    <s v="Occupied"/>
    <x v="0"/>
    <x v="3"/>
    <n v="10000"/>
    <s v="Medium"/>
    <n v="223"/>
    <n v="1"/>
    <n v="255"/>
  </r>
  <r>
    <s v="R0151"/>
    <s v="Resident 151"/>
    <x v="1"/>
    <x v="0"/>
    <x v="127"/>
    <d v="2025-06-29T00:00:00"/>
    <d v="2025-12-27T00:00:00"/>
    <n v="15000"/>
    <s v="Occupied"/>
    <x v="1"/>
    <x v="1"/>
    <n v="15000"/>
    <s v="High"/>
    <n v="181"/>
    <n v="1"/>
    <n v="164"/>
  </r>
  <r>
    <s v="R0152"/>
    <s v="Resident 152"/>
    <x v="1"/>
    <x v="2"/>
    <x v="69"/>
    <d v="2025-12-17T00:00:00"/>
    <d v="2026-06-10T00:00:00"/>
    <n v="18000"/>
    <s v="Vacant"/>
    <x v="0"/>
    <x v="2"/>
    <n v="18000"/>
    <s v="High"/>
    <n v="11"/>
    <n v="0"/>
    <n v="0"/>
  </r>
  <r>
    <s v="R0153"/>
    <s v="Resident 153"/>
    <x v="3"/>
    <x v="1"/>
    <x v="128"/>
    <d v="2026-01-10T00:00:00"/>
    <d v="2026-06-14T00:00:00"/>
    <n v="12000"/>
    <s v="Vacant"/>
    <x v="1"/>
    <x v="0"/>
    <n v="12000"/>
    <s v="Medium"/>
    <n v="155"/>
    <n v="0"/>
    <n v="0"/>
  </r>
  <r>
    <s v="R0154"/>
    <s v="Resident 154"/>
    <x v="2"/>
    <x v="0"/>
    <x v="129"/>
    <d v="2025-06-19T00:00:00"/>
    <d v="2026-03-21T00:00:00"/>
    <n v="12000"/>
    <s v="Occupied"/>
    <x v="0"/>
    <x v="2"/>
    <n v="12000"/>
    <s v="Medium"/>
    <n v="275"/>
    <n v="1"/>
    <n v="80"/>
  </r>
  <r>
    <s v="R0155"/>
    <s v="Resident 155"/>
    <x v="1"/>
    <x v="1"/>
    <x v="130"/>
    <d v="2026-02-26T00:00:00"/>
    <d v="2027-02-08T00:00:00"/>
    <n v="12000"/>
    <s v="Vacant"/>
    <x v="1"/>
    <x v="2"/>
    <n v="12000"/>
    <s v="Medium"/>
    <n v="347"/>
    <n v="0"/>
    <n v="0"/>
  </r>
  <r>
    <s v="R0156"/>
    <s v="Resident 156"/>
    <x v="0"/>
    <x v="0"/>
    <x v="131"/>
    <d v="2026-04-27T00:00:00"/>
    <d v="2027-01-11T00:00:00"/>
    <n v="8000"/>
    <s v="Occupied"/>
    <x v="0"/>
    <x v="1"/>
    <n v="8000"/>
    <s v="Low"/>
    <n v="259"/>
    <n v="1"/>
    <n v="0"/>
  </r>
  <r>
    <s v="R0157"/>
    <s v="Resident 157"/>
    <x v="1"/>
    <x v="0"/>
    <x v="72"/>
    <d v="2025-09-29T00:00:00"/>
    <d v="2026-01-28T00:00:00"/>
    <n v="12000"/>
    <s v="Vacant"/>
    <x v="0"/>
    <x v="3"/>
    <n v="12000"/>
    <s v="Medium"/>
    <n v="121"/>
    <n v="0"/>
    <n v="132"/>
  </r>
  <r>
    <s v="R0158"/>
    <s v="Resident 158"/>
    <x v="3"/>
    <x v="0"/>
    <x v="132"/>
    <d v="2025-12-12T00:00:00"/>
    <d v="2026-09-21T00:00:00"/>
    <n v="12000"/>
    <s v="Vacant"/>
    <x v="1"/>
    <x v="2"/>
    <n v="12000"/>
    <s v="Medium"/>
    <n v="283"/>
    <n v="0"/>
    <n v="0"/>
  </r>
  <r>
    <s v="R0159"/>
    <s v="Resident 159"/>
    <x v="2"/>
    <x v="0"/>
    <x v="133"/>
    <d v="2026-03-30T00:00:00"/>
    <d v="2027-03-14T00:00:00"/>
    <n v="18000"/>
    <s v="Occupied"/>
    <x v="1"/>
    <x v="1"/>
    <n v="18000"/>
    <s v="High"/>
    <n v="349"/>
    <n v="1"/>
    <n v="0"/>
  </r>
  <r>
    <s v="R0160"/>
    <s v="Resident 160"/>
    <x v="1"/>
    <x v="1"/>
    <x v="134"/>
    <d v="2025-12-30T00:00:00"/>
    <d v="2026-07-31T00:00:00"/>
    <n v="18000"/>
    <s v="Occupied"/>
    <x v="1"/>
    <x v="0"/>
    <n v="18000"/>
    <s v="High"/>
    <n v="213"/>
    <n v="1"/>
    <n v="0"/>
  </r>
  <r>
    <s v="R0161"/>
    <s v="Resident 161"/>
    <x v="2"/>
    <x v="0"/>
    <x v="135"/>
    <d v="2025-05-28T00:00:00"/>
    <d v="2025-09-21T00:00:00"/>
    <n v="12000"/>
    <s v="Vacant"/>
    <x v="0"/>
    <x v="3"/>
    <n v="12000"/>
    <s v="Medium"/>
    <n v="116"/>
    <n v="0"/>
    <n v="261"/>
  </r>
  <r>
    <s v="R0162"/>
    <s v="Resident 162"/>
    <x v="0"/>
    <x v="0"/>
    <x v="88"/>
    <d v="2025-03-29T00:00:00"/>
    <d v="2026-01-05T00:00:00"/>
    <n v="12000"/>
    <s v="Vacant"/>
    <x v="0"/>
    <x v="1"/>
    <n v="12000"/>
    <s v="Medium"/>
    <n v="282"/>
    <n v="0"/>
    <n v="155"/>
  </r>
  <r>
    <s v="R0163"/>
    <s v="Resident 163"/>
    <x v="1"/>
    <x v="0"/>
    <x v="59"/>
    <d v="2025-06-06T00:00:00"/>
    <d v="2025-10-11T00:00:00"/>
    <n v="12000"/>
    <s v="Occupied"/>
    <x v="0"/>
    <x v="3"/>
    <n v="12000"/>
    <s v="Medium"/>
    <n v="127"/>
    <n v="1"/>
    <n v="241"/>
  </r>
  <r>
    <s v="R0164"/>
    <s v="Resident 164"/>
    <x v="3"/>
    <x v="0"/>
    <x v="136"/>
    <d v="2025-04-09T00:00:00"/>
    <d v="2026-05-25T00:00:00"/>
    <n v="12000"/>
    <s v="Occupied"/>
    <x v="1"/>
    <x v="3"/>
    <n v="12000"/>
    <s v="Medium"/>
    <n v="411"/>
    <n v="1"/>
    <n v="15"/>
  </r>
  <r>
    <s v="R0165"/>
    <s v="Resident 165"/>
    <x v="1"/>
    <x v="0"/>
    <x v="137"/>
    <d v="2025-01-22T00:00:00"/>
    <d v="2025-11-08T00:00:00"/>
    <n v="8000"/>
    <s v="Vacant"/>
    <x v="0"/>
    <x v="2"/>
    <n v="8000"/>
    <s v="Low"/>
    <n v="290"/>
    <n v="0"/>
    <n v="213"/>
  </r>
  <r>
    <s v="R0166"/>
    <s v="Resident 166"/>
    <x v="0"/>
    <x v="0"/>
    <x v="138"/>
    <d v="2026-03-04T00:00:00"/>
    <d v="2026-10-14T00:00:00"/>
    <n v="10000"/>
    <s v="Occupied"/>
    <x v="1"/>
    <x v="0"/>
    <n v="10000"/>
    <s v="Medium"/>
    <n v="224"/>
    <n v="1"/>
    <n v="0"/>
  </r>
  <r>
    <s v="R0167"/>
    <s v="Resident 167"/>
    <x v="2"/>
    <x v="2"/>
    <x v="7"/>
    <d v="2025-10-12T00:00:00"/>
    <d v="2026-09-13T00:00:00"/>
    <n v="8000"/>
    <s v="Vacant"/>
    <x v="1"/>
    <x v="1"/>
    <n v="8000"/>
    <s v="Low"/>
    <n v="336"/>
    <n v="0"/>
    <n v="0"/>
  </r>
  <r>
    <s v="R0168"/>
    <s v="Resident 168"/>
    <x v="1"/>
    <x v="1"/>
    <x v="139"/>
    <d v="2026-01-16T00:00:00"/>
    <d v="2026-04-29T00:00:00"/>
    <n v="12000"/>
    <s v="Occupied"/>
    <x v="1"/>
    <x v="2"/>
    <n v="12000"/>
    <s v="Medium"/>
    <n v="103"/>
    <n v="1"/>
    <n v="41"/>
  </r>
  <r>
    <s v="R0169"/>
    <s v="Resident 169"/>
    <x v="2"/>
    <x v="2"/>
    <x v="103"/>
    <d v="2025-08-29T00:00:00"/>
    <d v="2026-04-13T00:00:00"/>
    <n v="8000"/>
    <s v="Vacant"/>
    <x v="0"/>
    <x v="2"/>
    <n v="8000"/>
    <s v="Low"/>
    <n v="-41"/>
    <n v="0"/>
    <n v="57"/>
  </r>
  <r>
    <s v="R0170"/>
    <s v="Resident 170"/>
    <x v="1"/>
    <x v="0"/>
    <x v="140"/>
    <d v="2026-03-31T00:00:00"/>
    <d v="2026-12-04T00:00:00"/>
    <n v="15000"/>
    <s v="Occupied"/>
    <x v="1"/>
    <x v="2"/>
    <n v="15000"/>
    <s v="High"/>
    <n v="248"/>
    <n v="1"/>
    <n v="0"/>
  </r>
  <r>
    <s v="R0171"/>
    <s v="Resident 171"/>
    <x v="2"/>
    <x v="0"/>
    <x v="141"/>
    <d v="2025-02-15T00:00:00"/>
    <d v="2025-06-20T00:00:00"/>
    <n v="18000"/>
    <s v="Occupied"/>
    <x v="0"/>
    <x v="2"/>
    <n v="18000"/>
    <s v="High"/>
    <n v="125"/>
    <n v="1"/>
    <n v="354"/>
  </r>
  <r>
    <s v="R0172"/>
    <s v="Resident 172"/>
    <x v="0"/>
    <x v="0"/>
    <x v="80"/>
    <d v="2025-07-28T00:00:00"/>
    <d v="2026-03-09T00:00:00"/>
    <n v="12000"/>
    <s v="Vacant"/>
    <x v="0"/>
    <x v="3"/>
    <n v="12000"/>
    <s v="Medium"/>
    <n v="224"/>
    <n v="0"/>
    <n v="92"/>
  </r>
  <r>
    <s v="R0173"/>
    <s v="Resident 173"/>
    <x v="2"/>
    <x v="0"/>
    <x v="142"/>
    <d v="2025-12-26T00:00:00"/>
    <d v="2026-12-17T00:00:00"/>
    <n v="18000"/>
    <s v="Vacant"/>
    <x v="1"/>
    <x v="3"/>
    <n v="18000"/>
    <s v="High"/>
    <n v="356"/>
    <n v="0"/>
    <n v="0"/>
  </r>
  <r>
    <s v="R0174"/>
    <s v="Resident 174"/>
    <x v="0"/>
    <x v="2"/>
    <x v="127"/>
    <d v="2025-06-29T00:00:00"/>
    <d v="2026-05-22T00:00:00"/>
    <n v="10000"/>
    <s v="Vacant"/>
    <x v="0"/>
    <x v="0"/>
    <n v="10000"/>
    <s v="Medium"/>
    <n v="327"/>
    <n v="0"/>
    <n v="18"/>
  </r>
  <r>
    <s v="R0175"/>
    <s v="Resident 175"/>
    <x v="0"/>
    <x v="2"/>
    <x v="72"/>
    <d v="2025-09-29T00:00:00"/>
    <d v="2026-04-21T00:00:00"/>
    <n v="10000"/>
    <s v="Vacant"/>
    <x v="0"/>
    <x v="3"/>
    <n v="10000"/>
    <s v="Medium"/>
    <n v="204"/>
    <n v="0"/>
    <n v="49"/>
  </r>
  <r>
    <s v="R0176"/>
    <s v="Resident 176"/>
    <x v="0"/>
    <x v="2"/>
    <x v="32"/>
    <d v="2025-02-02T00:00:00"/>
    <d v="2025-07-25T00:00:00"/>
    <n v="8000"/>
    <s v="Occupied"/>
    <x v="0"/>
    <x v="2"/>
    <n v="8000"/>
    <s v="Low"/>
    <n v="173"/>
    <n v="1"/>
    <n v="319"/>
  </r>
  <r>
    <s v="R0177"/>
    <s v="Resident 177"/>
    <x v="0"/>
    <x v="0"/>
    <x v="143"/>
    <d v="2025-05-10T00:00:00"/>
    <d v="2025-10-24T00:00:00"/>
    <n v="12000"/>
    <s v="Vacant"/>
    <x v="0"/>
    <x v="3"/>
    <n v="12000"/>
    <s v="Medium"/>
    <n v="167"/>
    <n v="0"/>
    <n v="228"/>
  </r>
  <r>
    <s v="R0178"/>
    <s v="Resident 178"/>
    <x v="2"/>
    <x v="1"/>
    <x v="30"/>
    <d v="2025-06-04T00:00:00"/>
    <d v="2025-12-03T00:00:00"/>
    <n v="12000"/>
    <s v="Occupied"/>
    <x v="0"/>
    <x v="2"/>
    <n v="12000"/>
    <s v="Medium"/>
    <n v="182"/>
    <n v="1"/>
    <n v="188"/>
  </r>
  <r>
    <s v="R0179"/>
    <s v="Resident 179"/>
    <x v="1"/>
    <x v="2"/>
    <x v="142"/>
    <d v="2025-12-26T00:00:00"/>
    <d v="2026-05-26T00:00:00"/>
    <n v="10000"/>
    <s v="Occupied"/>
    <x v="1"/>
    <x v="1"/>
    <n v="10000"/>
    <s v="Medium"/>
    <n v="151"/>
    <n v="1"/>
    <n v="14"/>
  </r>
  <r>
    <s v="R0180"/>
    <s v="Resident 180"/>
    <x v="3"/>
    <x v="0"/>
    <x v="144"/>
    <d v="2025-05-07T00:00:00"/>
    <d v="2026-04-23T00:00:00"/>
    <n v="15000"/>
    <s v="Vacant"/>
    <x v="0"/>
    <x v="2"/>
    <n v="15000"/>
    <s v="High"/>
    <n v="351"/>
    <n v="0"/>
    <n v="47"/>
  </r>
  <r>
    <s v="R0181"/>
    <s v="Resident 181"/>
    <x v="1"/>
    <x v="0"/>
    <x v="75"/>
    <d v="2025-03-30T00:00:00"/>
    <d v="2025-10-25T00:00:00"/>
    <n v="10000"/>
    <s v="Occupied"/>
    <x v="1"/>
    <x v="1"/>
    <n v="10000"/>
    <s v="Medium"/>
    <n v="209"/>
    <n v="1"/>
    <n v="227"/>
  </r>
  <r>
    <s v="R0182"/>
    <s v="Resident 182"/>
    <x v="1"/>
    <x v="0"/>
    <x v="145"/>
    <d v="2025-07-20T00:00:00"/>
    <d v="2026-05-03T00:00:00"/>
    <n v="12000"/>
    <s v="Occupied"/>
    <x v="0"/>
    <x v="2"/>
    <n v="12000"/>
    <s v="Medium"/>
    <n v="287"/>
    <n v="1"/>
    <n v="37"/>
  </r>
  <r>
    <s v="R0183"/>
    <s v="Resident 183"/>
    <x v="3"/>
    <x v="0"/>
    <x v="146"/>
    <d v="2026-01-23T00:00:00"/>
    <d v="2026-08-05T00:00:00"/>
    <n v="12199"/>
    <s v="Occupied"/>
    <x v="0"/>
    <x v="2"/>
    <n v="12199"/>
    <s v="Medium"/>
    <n v="194"/>
    <n v="1"/>
    <n v="0"/>
  </r>
  <r>
    <s v="R0184"/>
    <s v="Resident 184"/>
    <x v="1"/>
    <x v="0"/>
    <x v="147"/>
    <d v="2025-04-20T00:00:00"/>
    <d v="2025-11-06T00:00:00"/>
    <n v="8000"/>
    <s v="Occupied"/>
    <x v="1"/>
    <x v="1"/>
    <n v="8000"/>
    <s v="Low"/>
    <n v="200"/>
    <n v="1"/>
    <n v="215"/>
  </r>
  <r>
    <s v="R0185"/>
    <s v="Resident 185"/>
    <x v="2"/>
    <x v="0"/>
    <x v="148"/>
    <d v="2025-10-03T00:00:00"/>
    <d v="2026-05-30T00:00:00"/>
    <n v="8000"/>
    <s v="Occupied"/>
    <x v="0"/>
    <x v="3"/>
    <n v="8000"/>
    <s v="Low"/>
    <n v="239"/>
    <n v="1"/>
    <n v="10"/>
  </r>
  <r>
    <s v="R0186"/>
    <s v="Resident 186"/>
    <x v="2"/>
    <x v="0"/>
    <x v="149"/>
    <d v="2025-06-22T00:00:00"/>
    <d v="2026-05-06T00:00:00"/>
    <n v="18000"/>
    <s v="Vacant"/>
    <x v="0"/>
    <x v="1"/>
    <n v="18000"/>
    <s v="High"/>
    <n v="-8"/>
    <n v="0"/>
    <n v="34"/>
  </r>
  <r>
    <s v="R0187"/>
    <s v="Resident 187"/>
    <x v="1"/>
    <x v="2"/>
    <x v="111"/>
    <d v="2026-02-24T00:00:00"/>
    <d v="2026-06-20T00:00:00"/>
    <n v="12000"/>
    <s v="Occupied"/>
    <x v="1"/>
    <x v="1"/>
    <n v="12000"/>
    <s v="Medium"/>
    <n v="116"/>
    <n v="1"/>
    <n v="0"/>
  </r>
  <r>
    <s v="R0188"/>
    <s v="Resident 188"/>
    <x v="1"/>
    <x v="1"/>
    <x v="51"/>
    <d v="2026-02-20T00:00:00"/>
    <d v="2026-06-01T00:00:00"/>
    <n v="12000"/>
    <s v="Occupied"/>
    <x v="1"/>
    <x v="2"/>
    <n v="12000"/>
    <s v="Medium"/>
    <n v="101"/>
    <n v="1"/>
    <n v="8"/>
  </r>
  <r>
    <s v="R0189"/>
    <s v="Resident 189"/>
    <x v="1"/>
    <x v="2"/>
    <x v="150"/>
    <d v="2025-05-03T00:00:00"/>
    <d v="2026-01-16T00:00:00"/>
    <n v="12000"/>
    <s v="Vacant"/>
    <x v="1"/>
    <x v="0"/>
    <n v="12000"/>
    <s v="Medium"/>
    <n v="258"/>
    <n v="0"/>
    <n v="144"/>
  </r>
  <r>
    <s v="R0190"/>
    <s v="Resident 190"/>
    <x v="0"/>
    <x v="0"/>
    <x v="151"/>
    <d v="2025-05-23T00:00:00"/>
    <d v="2026-03-26T00:00:00"/>
    <n v="18000"/>
    <s v="Vacant"/>
    <x v="1"/>
    <x v="3"/>
    <n v="18000"/>
    <s v="High"/>
    <n v="307"/>
    <n v="0"/>
    <n v="75"/>
  </r>
  <r>
    <s v="R0191"/>
    <s v="Resident 191"/>
    <x v="1"/>
    <x v="0"/>
    <x v="152"/>
    <d v="2025-02-25T00:00:00"/>
    <d v="2026-01-31T00:00:00"/>
    <n v="10000"/>
    <s v="Vacant"/>
    <x v="1"/>
    <x v="0"/>
    <n v="10000"/>
    <s v="Medium"/>
    <n v="340"/>
    <n v="0"/>
    <n v="129"/>
  </r>
  <r>
    <s v="R0192"/>
    <s v="Resident 192"/>
    <x v="2"/>
    <x v="0"/>
    <x v="153"/>
    <d v="2026-04-13T00:00:00"/>
    <d v="2026-12-22T00:00:00"/>
    <n v="15000"/>
    <s v="Occupied"/>
    <x v="0"/>
    <x v="1"/>
    <n v="15000"/>
    <s v="High"/>
    <n v="253"/>
    <n v="1"/>
    <n v="0"/>
  </r>
  <r>
    <s v="R0193"/>
    <s v="Resident 193"/>
    <x v="2"/>
    <x v="0"/>
    <x v="154"/>
    <d v="2025-12-24T00:00:00"/>
    <d v="2026-06-21T00:00:00"/>
    <n v="10000"/>
    <s v="Vacant"/>
    <x v="1"/>
    <x v="3"/>
    <n v="10000"/>
    <s v="Medium"/>
    <n v="179"/>
    <n v="0"/>
    <n v="0"/>
  </r>
  <r>
    <s v="R0194"/>
    <s v="Resident 194"/>
    <x v="2"/>
    <x v="0"/>
    <x v="155"/>
    <d v="2025-10-05T00:00:00"/>
    <d v="2026-05-18T00:00:00"/>
    <n v="10000"/>
    <s v="Occupied"/>
    <x v="1"/>
    <x v="2"/>
    <n v="10000"/>
    <s v="Medium"/>
    <n v="225"/>
    <n v="1"/>
    <n v="22"/>
  </r>
  <r>
    <s v="R0195"/>
    <s v="Resident 195"/>
    <x v="2"/>
    <x v="0"/>
    <x v="156"/>
    <d v="2025-08-13T00:00:00"/>
    <d v="2026-02-19T00:00:00"/>
    <n v="12000"/>
    <s v="Occupied"/>
    <x v="1"/>
    <x v="0"/>
    <n v="12000"/>
    <s v="Medium"/>
    <n v="190"/>
    <n v="1"/>
    <n v="110"/>
  </r>
  <r>
    <s v="R0196"/>
    <s v="Resident 196"/>
    <x v="1"/>
    <x v="0"/>
    <x v="157"/>
    <d v="2025-10-25T00:00:00"/>
    <d v="2026-04-17T00:00:00"/>
    <n v="8000"/>
    <s v="Occupied"/>
    <x v="0"/>
    <x v="0"/>
    <n v="8000"/>
    <s v="Low"/>
    <n v="174"/>
    <n v="1"/>
    <n v="53"/>
  </r>
  <r>
    <s v="R0197"/>
    <s v="Resident 197"/>
    <x v="2"/>
    <x v="2"/>
    <x v="62"/>
    <d v="2026-05-17T00:00:00"/>
    <d v="2027-04-21T00:00:00"/>
    <n v="12000"/>
    <s v="Occupied"/>
    <x v="1"/>
    <x v="0"/>
    <n v="12000"/>
    <s v="Medium"/>
    <n v="339"/>
    <n v="1"/>
    <n v="0"/>
  </r>
  <r>
    <s v="R0198"/>
    <s v="Resident 198"/>
    <x v="0"/>
    <x v="2"/>
    <x v="6"/>
    <d v="2025-10-22T00:00:00"/>
    <d v="2026-03-21T00:00:00"/>
    <n v="8000"/>
    <s v="Vacant"/>
    <x v="1"/>
    <x v="3"/>
    <n v="8000"/>
    <s v="Low"/>
    <n v="150"/>
    <n v="0"/>
    <n v="80"/>
  </r>
  <r>
    <s v="R0199"/>
    <s v="Resident 199"/>
    <x v="0"/>
    <x v="0"/>
    <x v="158"/>
    <d v="2025-07-21T00:00:00"/>
    <d v="2026-04-12T00:00:00"/>
    <n v="18000"/>
    <s v="Occupied"/>
    <x v="1"/>
    <x v="3"/>
    <n v="18000"/>
    <s v="High"/>
    <n v="265"/>
    <n v="1"/>
    <n v="58"/>
  </r>
  <r>
    <s v="R0200"/>
    <s v="Resident 200"/>
    <x v="0"/>
    <x v="0"/>
    <x v="159"/>
    <d v="2026-05-13T00:00:00"/>
    <d v="2026-10-31T00:00:00"/>
    <n v="12000"/>
    <s v="Occupied"/>
    <x v="1"/>
    <x v="0"/>
    <n v="12000"/>
    <s v="Medium"/>
    <n v="17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0084B-A2E7-4BCA-97F8-02577283FF6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ve-In Status">
  <location ref="C17:D20" firstHeaderRow="1" firstDataRow="1" firstDataCol="1"/>
  <pivotFields count="19">
    <pivotField dataField="1" showAll="0"/>
    <pivotField showAll="0"/>
    <pivotField showAll="0"/>
    <pivotField showAll="0"/>
    <pivotField numFmtId="164" showAll="0">
      <items count="161">
        <item x="137"/>
        <item x="5"/>
        <item x="32"/>
        <item x="85"/>
        <item x="21"/>
        <item x="141"/>
        <item x="126"/>
        <item x="33"/>
        <item x="57"/>
        <item x="152"/>
        <item x="88"/>
        <item x="75"/>
        <item x="112"/>
        <item x="3"/>
        <item x="123"/>
        <item x="23"/>
        <item x="91"/>
        <item x="136"/>
        <item x="18"/>
        <item x="56"/>
        <item x="42"/>
        <item x="9"/>
        <item x="147"/>
        <item x="17"/>
        <item x="150"/>
        <item x="73"/>
        <item x="144"/>
        <item x="143"/>
        <item x="95"/>
        <item x="74"/>
        <item x="107"/>
        <item x="99"/>
        <item x="77"/>
        <item x="110"/>
        <item x="28"/>
        <item x="151"/>
        <item x="34"/>
        <item x="135"/>
        <item x="58"/>
        <item x="117"/>
        <item x="30"/>
        <item x="59"/>
        <item x="124"/>
        <item x="129"/>
        <item x="37"/>
        <item x="127"/>
        <item x="2"/>
        <item x="81"/>
        <item x="145"/>
        <item x="158"/>
        <item x="80"/>
        <item x="26"/>
        <item x="14"/>
        <item x="105"/>
        <item x="61"/>
        <item x="49"/>
        <item x="121"/>
        <item x="156"/>
        <item x="78"/>
        <item x="38"/>
        <item x="116"/>
        <item x="43"/>
        <item x="104"/>
        <item x="44"/>
        <item x="113"/>
        <item x="92"/>
        <item x="46"/>
        <item x="36"/>
        <item x="108"/>
        <item x="12"/>
        <item x="82"/>
        <item x="84"/>
        <item x="47"/>
        <item x="60"/>
        <item x="24"/>
        <item x="10"/>
        <item x="102"/>
        <item x="72"/>
        <item x="25"/>
        <item x="148"/>
        <item x="155"/>
        <item x="93"/>
        <item x="53"/>
        <item x="7"/>
        <item x="98"/>
        <item x="6"/>
        <item x="157"/>
        <item x="106"/>
        <item x="87"/>
        <item x="54"/>
        <item x="122"/>
        <item x="101"/>
        <item x="96"/>
        <item x="68"/>
        <item x="89"/>
        <item x="11"/>
        <item x="50"/>
        <item x="132"/>
        <item x="22"/>
        <item x="39"/>
        <item x="8"/>
        <item x="154"/>
        <item x="125"/>
        <item x="142"/>
        <item x="134"/>
        <item x="1"/>
        <item x="35"/>
        <item x="128"/>
        <item x="79"/>
        <item x="16"/>
        <item x="139"/>
        <item x="119"/>
        <item x="63"/>
        <item x="52"/>
        <item x="146"/>
        <item x="64"/>
        <item x="86"/>
        <item x="20"/>
        <item x="94"/>
        <item x="67"/>
        <item x="118"/>
        <item x="51"/>
        <item x="111"/>
        <item x="130"/>
        <item x="13"/>
        <item x="138"/>
        <item x="41"/>
        <item x="27"/>
        <item x="100"/>
        <item x="97"/>
        <item x="29"/>
        <item x="40"/>
        <item x="90"/>
        <item x="133"/>
        <item x="140"/>
        <item x="4"/>
        <item x="66"/>
        <item x="70"/>
        <item x="120"/>
        <item x="153"/>
        <item x="55"/>
        <item x="19"/>
        <item x="45"/>
        <item x="0"/>
        <item x="83"/>
        <item x="114"/>
        <item x="71"/>
        <item x="131"/>
        <item x="15"/>
        <item x="115"/>
        <item x="65"/>
        <item x="48"/>
        <item x="159"/>
        <item x="149"/>
        <item x="62"/>
        <item x="103"/>
        <item x="76"/>
        <item x="109"/>
        <item x="69"/>
        <item x="31"/>
        <item t="default"/>
      </items>
    </pivotField>
    <pivotField numFmtId="164" showAll="0"/>
    <pivotField numFmtId="164"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3">
    <i>
      <x/>
    </i>
    <i>
      <x v="1"/>
    </i>
    <i t="grand">
      <x/>
    </i>
  </rowItems>
  <colItems count="1">
    <i/>
  </colItems>
  <dataFields count="1">
    <dataField name="Count of Resident ID" fld="0" subtotal="count" baseField="0" baseItem="0"/>
  </dataFields>
  <formats count="22">
    <format dxfId="21">
      <pivotArea type="all" dataOnly="0" outline="0" fieldPosition="0"/>
    </format>
    <format dxfId="20">
      <pivotArea outline="0" collapsedLevelsAreSubtotals="1" fieldPosition="0"/>
    </format>
    <format dxfId="19">
      <pivotArea field="9" type="button" dataOnly="0" labelOnly="1" outline="0" axis="axisRow" fieldPosition="0"/>
    </format>
    <format dxfId="18">
      <pivotArea dataOnly="0" labelOnly="1" fieldPosition="0">
        <references count="1">
          <reference field="9" count="0"/>
        </references>
      </pivotArea>
    </format>
    <format dxfId="17">
      <pivotArea dataOnly="0" labelOnly="1" grandRow="1" outline="0" fieldPosition="0"/>
    </format>
    <format dxfId="16">
      <pivotArea dataOnly="0" labelOnly="1" outline="0" axis="axisValues" fieldPosition="0"/>
    </format>
    <format dxfId="15">
      <pivotArea field="9"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9" type="button" dataOnly="0" labelOnly="1" outline="0" axis="axisRow" fieldPosition="0"/>
    </format>
    <format dxfId="2">
      <pivotArea dataOnly="0" labelOnly="1" fieldPosition="0">
        <references count="1">
          <reference field="9"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57B41-EA2F-46CE-95DC-825062DCED3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ooking by Source">
  <location ref="F10:G15" firstHeaderRow="1" firstDataRow="1" firstDataCol="1"/>
  <pivotFields count="19">
    <pivotField dataField="1" showAll="0"/>
    <pivotField showAll="0"/>
    <pivotField showAll="0"/>
    <pivotField showAll="0">
      <items count="4">
        <item x="1"/>
        <item x="0"/>
        <item x="2"/>
        <item t="default"/>
      </items>
    </pivotField>
    <pivotField numFmtId="164" showAll="0">
      <items count="161">
        <item x="137"/>
        <item x="5"/>
        <item x="32"/>
        <item x="85"/>
        <item x="21"/>
        <item x="141"/>
        <item x="126"/>
        <item x="33"/>
        <item x="57"/>
        <item x="152"/>
        <item x="88"/>
        <item x="75"/>
        <item x="112"/>
        <item x="3"/>
        <item x="123"/>
        <item x="23"/>
        <item x="91"/>
        <item x="136"/>
        <item x="18"/>
        <item x="56"/>
        <item x="42"/>
        <item x="9"/>
        <item x="147"/>
        <item x="17"/>
        <item x="150"/>
        <item x="73"/>
        <item x="144"/>
        <item x="143"/>
        <item x="95"/>
        <item x="74"/>
        <item x="107"/>
        <item x="99"/>
        <item x="77"/>
        <item x="110"/>
        <item x="28"/>
        <item x="151"/>
        <item x="34"/>
        <item x="135"/>
        <item x="58"/>
        <item x="117"/>
        <item x="30"/>
        <item x="59"/>
        <item x="124"/>
        <item x="129"/>
        <item x="37"/>
        <item x="127"/>
        <item x="2"/>
        <item x="81"/>
        <item x="145"/>
        <item x="158"/>
        <item x="80"/>
        <item x="26"/>
        <item x="14"/>
        <item x="105"/>
        <item x="61"/>
        <item x="49"/>
        <item x="121"/>
        <item x="156"/>
        <item x="78"/>
        <item x="38"/>
        <item x="116"/>
        <item x="43"/>
        <item x="104"/>
        <item x="44"/>
        <item x="113"/>
        <item x="92"/>
        <item x="46"/>
        <item x="36"/>
        <item x="108"/>
        <item x="12"/>
        <item x="82"/>
        <item x="84"/>
        <item x="47"/>
        <item x="60"/>
        <item x="24"/>
        <item x="10"/>
        <item x="102"/>
        <item x="72"/>
        <item x="25"/>
        <item x="148"/>
        <item x="155"/>
        <item x="93"/>
        <item x="53"/>
        <item x="7"/>
        <item x="98"/>
        <item x="6"/>
        <item x="157"/>
        <item x="106"/>
        <item x="87"/>
        <item x="54"/>
        <item x="122"/>
        <item x="101"/>
        <item x="96"/>
        <item x="68"/>
        <item x="89"/>
        <item x="11"/>
        <item x="50"/>
        <item x="132"/>
        <item x="22"/>
        <item x="39"/>
        <item x="8"/>
        <item x="154"/>
        <item x="125"/>
        <item x="142"/>
        <item x="134"/>
        <item x="1"/>
        <item x="35"/>
        <item x="128"/>
        <item x="79"/>
        <item x="16"/>
        <item x="139"/>
        <item x="119"/>
        <item x="63"/>
        <item x="52"/>
        <item x="146"/>
        <item x="64"/>
        <item x="86"/>
        <item x="20"/>
        <item x="94"/>
        <item x="67"/>
        <item x="118"/>
        <item x="51"/>
        <item x="111"/>
        <item x="130"/>
        <item x="13"/>
        <item x="138"/>
        <item x="41"/>
        <item x="27"/>
        <item x="100"/>
        <item x="97"/>
        <item x="29"/>
        <item x="40"/>
        <item x="90"/>
        <item x="133"/>
        <item x="140"/>
        <item x="4"/>
        <item x="66"/>
        <item x="70"/>
        <item x="120"/>
        <item x="153"/>
        <item x="55"/>
        <item x="19"/>
        <item x="45"/>
        <item x="0"/>
        <item x="83"/>
        <item x="114"/>
        <item x="71"/>
        <item x="131"/>
        <item x="15"/>
        <item x="115"/>
        <item x="65"/>
        <item x="48"/>
        <item x="159"/>
        <item x="149"/>
        <item x="62"/>
        <item x="103"/>
        <item x="76"/>
        <item x="109"/>
        <item x="69"/>
        <item x="31"/>
        <item t="default"/>
      </items>
    </pivotField>
    <pivotField numFmtId="164" showAll="0"/>
    <pivotField numFmtId="164"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v="3"/>
    </i>
    <i>
      <x v="2"/>
    </i>
    <i>
      <x v="1"/>
    </i>
    <i>
      <x/>
    </i>
    <i t="grand">
      <x/>
    </i>
  </rowItems>
  <colItems count="1">
    <i/>
  </colItems>
  <dataFields count="1">
    <dataField name="Count of Resident ID" fld="0" subtotal="count" baseField="0" baseItem="0"/>
  </dataFields>
  <formats count="22">
    <format dxfId="43">
      <pivotArea type="all" dataOnly="0" outline="0" fieldPosition="0"/>
    </format>
    <format dxfId="42">
      <pivotArea outline="0" collapsedLevelsAreSubtotals="1" fieldPosition="0"/>
    </format>
    <format dxfId="41">
      <pivotArea field="10" type="button" dataOnly="0" labelOnly="1" outline="0" axis="axisRow" fieldPosition="0"/>
    </format>
    <format dxfId="40">
      <pivotArea dataOnly="0" labelOnly="1" fieldPosition="0">
        <references count="1">
          <reference field="10" count="0"/>
        </references>
      </pivotArea>
    </format>
    <format dxfId="39">
      <pivotArea dataOnly="0" labelOnly="1" grandRow="1" outline="0" fieldPosition="0"/>
    </format>
    <format dxfId="38">
      <pivotArea dataOnly="0" labelOnly="1" outline="0" axis="axisValues" fieldPosition="0"/>
    </format>
    <format dxfId="37">
      <pivotArea field="10"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0" type="button" dataOnly="0" labelOnly="1" outline="0" axis="axisRow" fieldPosition="0"/>
    </format>
    <format dxfId="24">
      <pivotArea dataOnly="0" labelOnly="1" fieldPosition="0">
        <references count="1">
          <reference field="10" count="0"/>
        </references>
      </pivotArea>
    </format>
    <format dxfId="23">
      <pivotArea dataOnly="0" labelOnly="1" grandRow="1" outline="0" fieldPosition="0"/>
    </format>
    <format dxfId="22">
      <pivotArea dataOnly="0" labelOnly="1" outline="0" axis="axisValues" fieldPosition="0"/>
    </format>
  </formats>
  <chartFormats count="5">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0" count="1" selected="0">
            <x v="0"/>
          </reference>
        </references>
      </pivotArea>
    </chartFormat>
    <chartFormat chart="10" format="10">
      <pivotArea type="data" outline="0" fieldPosition="0">
        <references count="2">
          <reference field="4294967294" count="1" selected="0">
            <x v="0"/>
          </reference>
          <reference field="10" count="1" selected="0">
            <x v="1"/>
          </reference>
        </references>
      </pivotArea>
    </chartFormat>
    <chartFormat chart="10" format="11">
      <pivotArea type="data" outline="0" fieldPosition="0">
        <references count="2">
          <reference field="4294967294" count="1" selected="0">
            <x v="0"/>
          </reference>
          <reference field="10" count="1" selected="0">
            <x v="2"/>
          </reference>
        </references>
      </pivotArea>
    </chartFormat>
    <chartFormat chart="10"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49C8B2-F9AA-42F3-9ACE-6673EB503C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perty">
  <location ref="C10:D15" firstHeaderRow="1" firstDataRow="1" firstDataCol="1"/>
  <pivotFields count="19">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numFmtId="164" showAll="0">
      <items count="161">
        <item x="137"/>
        <item x="5"/>
        <item x="32"/>
        <item x="85"/>
        <item x="21"/>
        <item x="141"/>
        <item x="126"/>
        <item x="33"/>
        <item x="57"/>
        <item x="152"/>
        <item x="88"/>
        <item x="75"/>
        <item x="112"/>
        <item x="3"/>
        <item x="123"/>
        <item x="23"/>
        <item x="91"/>
        <item x="136"/>
        <item x="18"/>
        <item x="56"/>
        <item x="42"/>
        <item x="9"/>
        <item x="147"/>
        <item x="17"/>
        <item x="150"/>
        <item x="73"/>
        <item x="144"/>
        <item x="143"/>
        <item x="95"/>
        <item x="74"/>
        <item x="107"/>
        <item x="99"/>
        <item x="77"/>
        <item x="110"/>
        <item x="28"/>
        <item x="151"/>
        <item x="34"/>
        <item x="135"/>
        <item x="58"/>
        <item x="117"/>
        <item x="30"/>
        <item x="59"/>
        <item x="124"/>
        <item x="129"/>
        <item x="37"/>
        <item x="127"/>
        <item x="2"/>
        <item x="81"/>
        <item x="145"/>
        <item x="158"/>
        <item x="80"/>
        <item x="26"/>
        <item x="14"/>
        <item x="105"/>
        <item x="61"/>
        <item x="49"/>
        <item x="121"/>
        <item x="156"/>
        <item x="78"/>
        <item x="38"/>
        <item x="116"/>
        <item x="43"/>
        <item x="104"/>
        <item x="44"/>
        <item x="113"/>
        <item x="92"/>
        <item x="46"/>
        <item x="36"/>
        <item x="108"/>
        <item x="12"/>
        <item x="82"/>
        <item x="84"/>
        <item x="47"/>
        <item x="60"/>
        <item x="24"/>
        <item x="10"/>
        <item x="102"/>
        <item x="72"/>
        <item x="25"/>
        <item x="148"/>
        <item x="155"/>
        <item x="93"/>
        <item x="53"/>
        <item x="7"/>
        <item x="98"/>
        <item x="6"/>
        <item x="157"/>
        <item x="106"/>
        <item x="87"/>
        <item x="54"/>
        <item x="122"/>
        <item x="101"/>
        <item x="96"/>
        <item x="68"/>
        <item x="89"/>
        <item x="11"/>
        <item x="50"/>
        <item x="132"/>
        <item x="22"/>
        <item x="39"/>
        <item x="8"/>
        <item x="154"/>
        <item x="125"/>
        <item x="142"/>
        <item x="134"/>
        <item x="1"/>
        <item x="35"/>
        <item x="128"/>
        <item x="79"/>
        <item x="16"/>
        <item x="139"/>
        <item x="119"/>
        <item x="63"/>
        <item x="52"/>
        <item x="146"/>
        <item x="64"/>
        <item x="86"/>
        <item x="20"/>
        <item x="94"/>
        <item x="67"/>
        <item x="118"/>
        <item x="51"/>
        <item x="111"/>
        <item x="130"/>
        <item x="13"/>
        <item x="138"/>
        <item x="41"/>
        <item x="27"/>
        <item x="100"/>
        <item x="97"/>
        <item x="29"/>
        <item x="40"/>
        <item x="90"/>
        <item x="133"/>
        <item x="140"/>
        <item x="4"/>
        <item x="66"/>
        <item x="70"/>
        <item x="120"/>
        <item x="153"/>
        <item x="55"/>
        <item x="19"/>
        <item x="45"/>
        <item x="0"/>
        <item x="83"/>
        <item x="114"/>
        <item x="71"/>
        <item x="131"/>
        <item x="15"/>
        <item x="115"/>
        <item x="65"/>
        <item x="48"/>
        <item x="159"/>
        <item x="149"/>
        <item x="62"/>
        <item x="103"/>
        <item x="76"/>
        <item x="109"/>
        <item x="69"/>
        <item x="31"/>
        <item t="default"/>
      </items>
    </pivotField>
    <pivotField numFmtId="164" showAll="0"/>
    <pivotField numFmtId="164"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3"/>
    </i>
    <i>
      <x v="2"/>
    </i>
    <i>
      <x v="1"/>
    </i>
    <i t="grand">
      <x/>
    </i>
  </rowItems>
  <colItems count="1">
    <i/>
  </colItems>
  <dataFields count="1">
    <dataField name="Sum of Occupancy Flag" fld="14" baseField="0" baseItem="0"/>
  </dataFields>
  <formats count="22">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axis="axisValues" fieldPosition="0"/>
    </format>
    <format dxfId="59">
      <pivotArea field="2" type="button" dataOnly="0" labelOnly="1" outline="0" axis="axisRow" fieldPosition="0"/>
    </format>
    <format dxfId="58">
      <pivotArea dataOnly="0" labelOnly="1" outline="0" axis="axisValues" fieldPosition="0"/>
    </format>
    <format dxfId="57">
      <pivotArea grandRow="1" outline="0" collapsedLevelsAreSubtotals="1"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field="2" type="button" dataOnly="0" labelOnly="1" outline="0" axis="axisRow" fieldPosition="0"/>
    </format>
    <format dxfId="52">
      <pivotArea dataOnly="0" labelOnly="1" fieldPosition="0">
        <references count="1">
          <reference field="2"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B06085-9B54-409F-9632-86DADC67CFD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rowHeaderCaption="city">
  <location ref="F3:G7" firstHeaderRow="1" firstDataRow="1" firstDataCol="1"/>
  <pivotFields count="19">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64" showAll="0">
      <items count="161">
        <item x="137"/>
        <item x="5"/>
        <item x="32"/>
        <item x="85"/>
        <item x="21"/>
        <item x="141"/>
        <item x="126"/>
        <item x="33"/>
        <item x="57"/>
        <item x="152"/>
        <item x="88"/>
        <item x="75"/>
        <item x="112"/>
        <item x="3"/>
        <item x="123"/>
        <item x="23"/>
        <item x="91"/>
        <item x="136"/>
        <item x="18"/>
        <item x="56"/>
        <item x="42"/>
        <item x="9"/>
        <item x="147"/>
        <item x="17"/>
        <item x="150"/>
        <item x="73"/>
        <item x="144"/>
        <item x="143"/>
        <item x="95"/>
        <item x="74"/>
        <item x="107"/>
        <item x="99"/>
        <item x="77"/>
        <item x="110"/>
        <item x="28"/>
        <item x="151"/>
        <item x="34"/>
        <item x="135"/>
        <item x="58"/>
        <item x="117"/>
        <item x="30"/>
        <item x="59"/>
        <item x="124"/>
        <item x="129"/>
        <item x="37"/>
        <item x="127"/>
        <item x="2"/>
        <item x="81"/>
        <item x="145"/>
        <item x="158"/>
        <item x="80"/>
        <item x="26"/>
        <item x="14"/>
        <item x="105"/>
        <item x="61"/>
        <item x="49"/>
        <item x="121"/>
        <item x="156"/>
        <item x="78"/>
        <item x="38"/>
        <item x="116"/>
        <item x="43"/>
        <item x="104"/>
        <item x="44"/>
        <item x="113"/>
        <item x="92"/>
        <item x="46"/>
        <item x="36"/>
        <item x="108"/>
        <item x="12"/>
        <item x="82"/>
        <item x="84"/>
        <item x="47"/>
        <item x="60"/>
        <item x="24"/>
        <item x="10"/>
        <item x="102"/>
        <item x="72"/>
        <item x="25"/>
        <item x="148"/>
        <item x="155"/>
        <item x="93"/>
        <item x="53"/>
        <item x="7"/>
        <item x="98"/>
        <item x="6"/>
        <item x="157"/>
        <item x="106"/>
        <item x="87"/>
        <item x="54"/>
        <item x="122"/>
        <item x="101"/>
        <item x="96"/>
        <item x="68"/>
        <item x="89"/>
        <item x="11"/>
        <item x="50"/>
        <item x="132"/>
        <item x="22"/>
        <item x="39"/>
        <item x="8"/>
        <item x="154"/>
        <item x="125"/>
        <item x="142"/>
        <item x="134"/>
        <item x="1"/>
        <item x="35"/>
        <item x="128"/>
        <item x="79"/>
        <item x="16"/>
        <item x="139"/>
        <item x="119"/>
        <item x="63"/>
        <item x="52"/>
        <item x="146"/>
        <item x="64"/>
        <item x="86"/>
        <item x="20"/>
        <item x="94"/>
        <item x="67"/>
        <item x="118"/>
        <item x="51"/>
        <item x="111"/>
        <item x="130"/>
        <item x="13"/>
        <item x="138"/>
        <item x="41"/>
        <item x="27"/>
        <item x="100"/>
        <item x="97"/>
        <item x="29"/>
        <item x="40"/>
        <item x="90"/>
        <item x="133"/>
        <item x="140"/>
        <item x="4"/>
        <item x="66"/>
        <item x="70"/>
        <item x="120"/>
        <item x="153"/>
        <item x="55"/>
        <item x="19"/>
        <item x="45"/>
        <item x="0"/>
        <item x="83"/>
        <item x="114"/>
        <item x="71"/>
        <item x="131"/>
        <item x="15"/>
        <item x="115"/>
        <item x="65"/>
        <item x="48"/>
        <item x="159"/>
        <item x="149"/>
        <item x="62"/>
        <item x="103"/>
        <item x="76"/>
        <item x="109"/>
        <item x="69"/>
        <item x="31"/>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v="1"/>
    </i>
    <i>
      <x/>
    </i>
    <i>
      <x v="2"/>
    </i>
    <i t="grand">
      <x/>
    </i>
  </rowItems>
  <colItems count="1">
    <i/>
  </colItems>
  <dataFields count="1">
    <dataField name="Sum of Revenue" fld="11" baseField="0" baseItem="0"/>
  </dataFields>
  <formats count="22">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 dxfId="81">
      <pivotArea grandRow="1" outline="0" collapsedLevelsAreSubtotals="1" fieldPosition="0"/>
    </format>
    <format dxfId="80">
      <pivotArea dataOnly="0" labelOnly="1" grandRow="1" outline="0" fieldPosition="0"/>
    </format>
    <format dxfId="79">
      <pivotArea field="3" type="button" dataOnly="0" labelOnly="1" outline="0" axis="axisRow"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3" type="button" dataOnly="0" labelOnly="1" outline="0" axis="axisRow" fieldPosition="0"/>
    </format>
    <format dxfId="74">
      <pivotArea dataOnly="0" labelOnly="1" fieldPosition="0">
        <references count="1">
          <reference field="3"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3" type="button" dataOnly="0" labelOnly="1" outline="0" axis="axisRow" fieldPosition="0"/>
    </format>
    <format dxfId="68">
      <pivotArea dataOnly="0" labelOnly="1" fieldPosition="0">
        <references count="1">
          <reference field="3" count="0"/>
        </references>
      </pivotArea>
    </format>
    <format dxfId="67">
      <pivotArea dataOnly="0" labelOnly="1" grandRow="1" outline="0" fieldPosition="0"/>
    </format>
    <format dxfId="66">
      <pivotArea dataOnly="0" labelOnly="1" outline="0" axis="axisValues" fieldPosition="0"/>
    </format>
  </formats>
  <chartFormats count="1">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DB4080-FF60-4616-84FC-E655ED9C96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perty">
  <location ref="C3:D8" firstHeaderRow="1" firstDataRow="1" firstDataCol="1"/>
  <pivotFields count="19">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numFmtId="164" showAll="0">
      <items count="161">
        <item x="137"/>
        <item x="5"/>
        <item x="32"/>
        <item x="85"/>
        <item x="21"/>
        <item x="141"/>
        <item x="126"/>
        <item x="33"/>
        <item x="57"/>
        <item x="152"/>
        <item x="88"/>
        <item x="75"/>
        <item x="112"/>
        <item x="3"/>
        <item x="123"/>
        <item x="23"/>
        <item x="91"/>
        <item x="136"/>
        <item x="18"/>
        <item x="56"/>
        <item x="42"/>
        <item x="9"/>
        <item x="147"/>
        <item x="17"/>
        <item x="150"/>
        <item x="73"/>
        <item x="144"/>
        <item x="143"/>
        <item x="95"/>
        <item x="74"/>
        <item x="107"/>
        <item x="99"/>
        <item x="77"/>
        <item x="110"/>
        <item x="28"/>
        <item x="151"/>
        <item x="34"/>
        <item x="135"/>
        <item x="58"/>
        <item x="117"/>
        <item x="30"/>
        <item x="59"/>
        <item x="124"/>
        <item x="129"/>
        <item x="37"/>
        <item x="127"/>
        <item x="2"/>
        <item x="81"/>
        <item x="145"/>
        <item x="158"/>
        <item x="80"/>
        <item x="26"/>
        <item x="14"/>
        <item x="105"/>
        <item x="61"/>
        <item x="49"/>
        <item x="121"/>
        <item x="156"/>
        <item x="78"/>
        <item x="38"/>
        <item x="116"/>
        <item x="43"/>
        <item x="104"/>
        <item x="44"/>
        <item x="113"/>
        <item x="92"/>
        <item x="46"/>
        <item x="36"/>
        <item x="108"/>
        <item x="12"/>
        <item x="82"/>
        <item x="84"/>
        <item x="47"/>
        <item x="60"/>
        <item x="24"/>
        <item x="10"/>
        <item x="102"/>
        <item x="72"/>
        <item x="25"/>
        <item x="148"/>
        <item x="155"/>
        <item x="93"/>
        <item x="53"/>
        <item x="7"/>
        <item x="98"/>
        <item x="6"/>
        <item x="157"/>
        <item x="106"/>
        <item x="87"/>
        <item x="54"/>
        <item x="122"/>
        <item x="101"/>
        <item x="96"/>
        <item x="68"/>
        <item x="89"/>
        <item x="11"/>
        <item x="50"/>
        <item x="132"/>
        <item x="22"/>
        <item x="39"/>
        <item x="8"/>
        <item x="154"/>
        <item x="125"/>
        <item x="142"/>
        <item x="134"/>
        <item x="1"/>
        <item x="35"/>
        <item x="128"/>
        <item x="79"/>
        <item x="16"/>
        <item x="139"/>
        <item x="119"/>
        <item x="63"/>
        <item x="52"/>
        <item x="146"/>
        <item x="64"/>
        <item x="86"/>
        <item x="20"/>
        <item x="94"/>
        <item x="67"/>
        <item x="118"/>
        <item x="51"/>
        <item x="111"/>
        <item x="130"/>
        <item x="13"/>
        <item x="138"/>
        <item x="41"/>
        <item x="27"/>
        <item x="100"/>
        <item x="97"/>
        <item x="29"/>
        <item x="40"/>
        <item x="90"/>
        <item x="133"/>
        <item x="140"/>
        <item x="4"/>
        <item x="66"/>
        <item x="70"/>
        <item x="120"/>
        <item x="153"/>
        <item x="55"/>
        <item x="19"/>
        <item x="45"/>
        <item x="0"/>
        <item x="83"/>
        <item x="114"/>
        <item x="71"/>
        <item x="131"/>
        <item x="15"/>
        <item x="115"/>
        <item x="65"/>
        <item x="48"/>
        <item x="159"/>
        <item x="149"/>
        <item x="62"/>
        <item x="103"/>
        <item x="76"/>
        <item x="109"/>
        <item x="69"/>
        <item x="31"/>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3"/>
    </i>
    <i>
      <x v="1"/>
    </i>
    <i>
      <x v="2"/>
    </i>
    <i t="grand">
      <x/>
    </i>
  </rowItems>
  <colItems count="1">
    <i/>
  </colItems>
  <dataFields count="1">
    <dataField name="Sum of Revenue" fld="11" baseField="0" baseItem="0"/>
  </dataFields>
  <formats count="22">
    <format dxfId="109">
      <pivotArea type="all" dataOnly="0" outline="0" fieldPosition="0"/>
    </format>
    <format dxfId="108">
      <pivotArea outline="0" collapsedLevelsAreSubtotals="1" fieldPosition="0"/>
    </format>
    <format dxfId="107">
      <pivotArea field="2" type="button" dataOnly="0" labelOnly="1" outline="0" axis="axisRow" fieldPosition="0"/>
    </format>
    <format dxfId="106">
      <pivotArea dataOnly="0" labelOnly="1" fieldPosition="0">
        <references count="1">
          <reference field="2" count="0"/>
        </references>
      </pivotArea>
    </format>
    <format dxfId="105">
      <pivotArea dataOnly="0" labelOnly="1" grandRow="1" outline="0" fieldPosition="0"/>
    </format>
    <format dxfId="104">
      <pivotArea dataOnly="0" labelOnly="1" outline="0" axis="axisValues" fieldPosition="0"/>
    </format>
    <format dxfId="103">
      <pivotArea field="2" type="button" dataOnly="0" labelOnly="1" outline="0" axis="axisRow" fieldPosition="0"/>
    </format>
    <format dxfId="102">
      <pivotArea dataOnly="0" labelOnly="1" outline="0" axis="axisValues" fieldPosition="0"/>
    </format>
    <format dxfId="101">
      <pivotArea grandRow="1" outline="0" collapsedLevelsAreSubtotals="1" fieldPosition="0"/>
    </format>
    <format dxfId="100">
      <pivotArea dataOnly="0" labelOnly="1" grandRow="1" outline="0" fieldPosition="0"/>
    </format>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33F13D-4C82-4027-8E9C-CBD8E04A8658}" sourceName="City">
  <pivotTables>
    <pivotTable tabId="11" name="PivotTable8"/>
  </pivotTables>
  <data>
    <tabular pivotCacheId="41558683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ource" xr10:uid="{D33042FE-70D6-4EFE-BBA0-F0664CE505A3}" sourceName="Booking Source">
  <pivotTables>
    <pivotTable tabId="11" name="PivotTable8"/>
  </pivotTables>
  <data>
    <tabular pivotCacheId="415586838">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8FD7FE7-F7F5-40B2-B718-3E9F034E6359}" cache="Slicer_City" caption="City" rowHeight="234950"/>
  <slicer name="Booking Source 1" xr10:uid="{F2B912CB-0727-47E7-8566-2B1656D8C398}" cache="Slicer_Booking_Source" caption="Booking Sour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21F952-AD7A-4408-8A7C-CED816A5EE35}" name="Table1" displayName="Table1" ref="A1:L201" totalsRowShown="0" headerRowDxfId="123">
  <autoFilter ref="A1:L201" xr:uid="{6121F952-AD7A-4408-8A7C-CED816A5EE35}"/>
  <tableColumns count="12">
    <tableColumn id="1" xr3:uid="{0BB6CB07-A2F7-4C7A-96B6-DEF0034A4D33}" name="Resident ID"/>
    <tableColumn id="2" xr3:uid="{25B2CD9E-AC5F-4548-939B-432C33F1F75F}" name="Resident Name"/>
    <tableColumn id="3" xr3:uid="{85E526C8-82E3-4C06-A3D3-2687BBF2ACE2}" name="Property"/>
    <tableColumn id="4" xr3:uid="{11406885-5476-4B26-AD36-6D27CD3A35F1}" name="City"/>
    <tableColumn id="5" xr3:uid="{7AA2173F-9CD0-4FDF-8102-70B15B96CBE1}" name="Move-In Date" dataDxfId="122"/>
    <tableColumn id="6" xr3:uid="{205135BA-24E7-4249-935D-F2A98FD27568}" name="Agreement Start Date" dataDxfId="121"/>
    <tableColumn id="7" xr3:uid="{8243EB78-8D19-4E2B-AE6B-D1D822B8E5AA}" name="Agreement End Date" dataDxfId="120"/>
    <tableColumn id="8" xr3:uid="{A3C086F2-9BB4-4AA8-A4EF-315E5654E716}" name="Monthly Rent"/>
    <tableColumn id="9" xr3:uid="{6D5687B9-13EF-4A04-BEB0-543FEBBC8310}" name="Occupancy Status"/>
    <tableColumn id="10" xr3:uid="{AD0F1033-3685-45FD-8436-EF6BCE4AF33F}" name="Move-In Status"/>
    <tableColumn id="11" xr3:uid="{2B20D1B6-DC12-4D55-AE45-0307D0FFD872}" name="Booking Source"/>
    <tableColumn id="12" xr3:uid="{74B6A36B-28A9-4DBF-B97E-7E72D60B0234}" name="Reven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3B71D9-CBCF-4830-A336-D76CE87A39BD}" name="Table134" displayName="Table134" ref="A1:R201" totalsRowShown="0" headerRowDxfId="119">
  <autoFilter ref="A1:R201" xr:uid="{AA3B71D9-CBCF-4830-A336-D76CE87A39BD}"/>
  <tableColumns count="18">
    <tableColumn id="1" xr3:uid="{2EE9583F-E049-49EA-82AA-65CEA8E826BD}" name="Resident ID"/>
    <tableColumn id="2" xr3:uid="{451663A8-87AD-4C19-BD2F-B03F6F28C569}" name="Resident Name"/>
    <tableColumn id="3" xr3:uid="{1E9AA373-745E-4EB7-BA8C-1DC35D791360}" name="Property"/>
    <tableColumn id="4" xr3:uid="{0FF3207C-41A3-4F26-A9C2-548BFE9FEED1}" name="City"/>
    <tableColumn id="5" xr3:uid="{2008E960-C3E8-4915-8989-B656EEF1D0B7}" name="Move-In Date" dataDxfId="118"/>
    <tableColumn id="6" xr3:uid="{70F3702D-7BE3-4B96-B421-02986F7B1B7A}" name="Agreement Start Date" dataDxfId="117"/>
    <tableColumn id="7" xr3:uid="{C8E3062D-A42F-4B87-8A76-45A5BB34D52A}" name="Agreement End Date" dataDxfId="116"/>
    <tableColumn id="8" xr3:uid="{EFB94901-47A3-4901-8F56-21FCF5625AFF}" name="Monthly Rent"/>
    <tableColumn id="9" xr3:uid="{1ACAEA8E-18BD-4482-B701-80CDB1BEECDA}" name="Occupancy Status"/>
    <tableColumn id="10" xr3:uid="{AD09E7EE-8711-473B-8984-356E5201DF7C}" name="Move-In Status"/>
    <tableColumn id="11" xr3:uid="{DB9FB7D2-B3BF-4BEC-8A4F-A36E7C4EFB4C}" name="Booking Source"/>
    <tableColumn id="12" xr3:uid="{E9D80D86-CEB5-4ECF-81CF-98E629ED4213}" name="Revenue"/>
    <tableColumn id="13" xr3:uid="{5B114B86-8911-478D-94AA-445472428AF9}" name="Revenue Band" dataDxfId="115">
      <calculatedColumnFormula>IF(H2&gt;=15000,"High",IF(H2&gt;=10000,"Medium","Low"))</calculatedColumnFormula>
    </tableColumn>
    <tableColumn id="14" xr3:uid="{06EF385A-E495-4096-8D46-7AF4AB0165EC}" name="Stay Duration" dataDxfId="114">
      <calculatedColumnFormula>G2-E2</calculatedColumnFormula>
    </tableColumn>
    <tableColumn id="15" xr3:uid="{1CF1EC43-0B25-4811-9D23-5B04A7A35042}" name="Occupancy Flag" dataDxfId="113">
      <calculatedColumnFormula>IF(I2="Occupied",1,0)</calculatedColumnFormula>
    </tableColumn>
    <tableColumn id="16" xr3:uid="{D0AB8671-115A-43F6-8FE3-01723CCCC528}" name="Overstay Days" dataDxfId="112">
      <calculatedColumnFormula>IF(G2&lt;TODAY(),TODAY()-G2,0)</calculatedColumnFormula>
    </tableColumn>
    <tableColumn id="17" xr3:uid="{F994F57E-77E4-47EC-BCDC-1EF764255835}" name="Days Overstayed" dataDxfId="111">
      <calculatedColumnFormula>IF(AND(G2&lt;TODAY(),I2="Occupied"),TODAY()-G2,0)</calculatedColumnFormula>
    </tableColumn>
    <tableColumn id="18" xr3:uid="{4E3D1DFA-2DF3-49E9-8378-37AD3538AA00}" name="Days Delayed" dataDxfId="110">
      <calculatedColumnFormula>IF(AND(J2="Pending",E2&lt;TODAY()),TODAY()-E2,0)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topLeftCell="A41" workbookViewId="0">
      <selection activeCell="N8" sqref="N8"/>
    </sheetView>
  </sheetViews>
  <sheetFormatPr defaultRowHeight="14.4" x14ac:dyDescent="0.3"/>
  <cols>
    <col min="8" max="8" width="14.332031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s="2">
        <v>46131</v>
      </c>
      <c r="F2" s="2">
        <v>46131</v>
      </c>
      <c r="G2" s="2">
        <v>46339</v>
      </c>
      <c r="H2">
        <v>10000</v>
      </c>
      <c r="I2" t="s">
        <v>16</v>
      </c>
      <c r="J2" t="s">
        <v>17</v>
      </c>
      <c r="K2" t="s">
        <v>18</v>
      </c>
      <c r="L2">
        <v>10000</v>
      </c>
    </row>
    <row r="3" spans="1:12" x14ac:dyDescent="0.3">
      <c r="A3" t="s">
        <v>19</v>
      </c>
      <c r="B3" t="s">
        <v>20</v>
      </c>
      <c r="C3" t="s">
        <v>21</v>
      </c>
      <c r="D3" t="s">
        <v>22</v>
      </c>
      <c r="E3" s="2">
        <v>46028</v>
      </c>
      <c r="F3" s="2">
        <v>46028</v>
      </c>
      <c r="G3" s="2">
        <v>46149</v>
      </c>
      <c r="H3">
        <v>12000</v>
      </c>
      <c r="I3" t="s">
        <v>23</v>
      </c>
      <c r="J3" t="s">
        <v>17</v>
      </c>
      <c r="K3" t="s">
        <v>18</v>
      </c>
      <c r="L3">
        <v>12000</v>
      </c>
    </row>
    <row r="4" spans="1:12" x14ac:dyDescent="0.3">
      <c r="A4" t="s">
        <v>24</v>
      </c>
      <c r="B4" t="s">
        <v>25</v>
      </c>
      <c r="C4" t="s">
        <v>21</v>
      </c>
      <c r="D4" t="s">
        <v>15</v>
      </c>
      <c r="E4" s="2">
        <v>45840</v>
      </c>
      <c r="F4" s="2">
        <v>45840</v>
      </c>
      <c r="G4" s="2">
        <v>45974</v>
      </c>
      <c r="H4">
        <v>10000</v>
      </c>
      <c r="I4" t="s">
        <v>23</v>
      </c>
      <c r="J4" t="s">
        <v>17</v>
      </c>
      <c r="K4" t="s">
        <v>26</v>
      </c>
      <c r="L4">
        <v>10000</v>
      </c>
    </row>
    <row r="5" spans="1:12" x14ac:dyDescent="0.3">
      <c r="A5" t="s">
        <v>27</v>
      </c>
      <c r="B5" t="s">
        <v>28</v>
      </c>
      <c r="C5" t="s">
        <v>29</v>
      </c>
      <c r="D5" t="s">
        <v>30</v>
      </c>
      <c r="E5" s="2">
        <v>45748</v>
      </c>
      <c r="F5" s="2">
        <v>45748</v>
      </c>
      <c r="G5" s="2">
        <v>45983</v>
      </c>
      <c r="H5">
        <v>10000</v>
      </c>
      <c r="I5" t="s">
        <v>23</v>
      </c>
      <c r="J5" t="s">
        <v>17</v>
      </c>
      <c r="K5" t="s">
        <v>31</v>
      </c>
      <c r="L5">
        <v>10000</v>
      </c>
    </row>
    <row r="6" spans="1:12" x14ac:dyDescent="0.3">
      <c r="A6" t="s">
        <v>32</v>
      </c>
      <c r="B6" t="s">
        <v>33</v>
      </c>
      <c r="C6" t="s">
        <v>14</v>
      </c>
      <c r="D6" t="s">
        <v>34</v>
      </c>
      <c r="E6" s="2">
        <v>46113</v>
      </c>
      <c r="F6" s="2">
        <v>46113</v>
      </c>
      <c r="G6" s="2">
        <v>46395</v>
      </c>
      <c r="H6">
        <v>10000</v>
      </c>
      <c r="I6" t="s">
        <v>16</v>
      </c>
      <c r="J6" t="s">
        <v>35</v>
      </c>
      <c r="K6" t="s">
        <v>26</v>
      </c>
      <c r="L6">
        <v>10000</v>
      </c>
    </row>
    <row r="7" spans="1:12" x14ac:dyDescent="0.3">
      <c r="A7" t="s">
        <v>36</v>
      </c>
      <c r="B7" t="s">
        <v>37</v>
      </c>
      <c r="C7" t="s">
        <v>38</v>
      </c>
      <c r="D7" t="s">
        <v>30</v>
      </c>
      <c r="E7" s="2">
        <v>45680</v>
      </c>
      <c r="F7" s="2">
        <v>45680</v>
      </c>
      <c r="G7" s="2">
        <v>45884</v>
      </c>
      <c r="H7">
        <v>8000</v>
      </c>
      <c r="I7" t="s">
        <v>16</v>
      </c>
      <c r="J7" t="s">
        <v>35</v>
      </c>
      <c r="K7" t="s">
        <v>31</v>
      </c>
      <c r="L7">
        <v>8000</v>
      </c>
    </row>
    <row r="8" spans="1:12" x14ac:dyDescent="0.3">
      <c r="A8" t="s">
        <v>39</v>
      </c>
      <c r="B8" t="s">
        <v>40</v>
      </c>
      <c r="C8" t="s">
        <v>29</v>
      </c>
      <c r="D8" t="s">
        <v>30</v>
      </c>
      <c r="E8" s="2">
        <v>45952</v>
      </c>
      <c r="F8" s="2">
        <v>45952</v>
      </c>
      <c r="G8" s="2">
        <v>46115</v>
      </c>
      <c r="H8">
        <v>8000</v>
      </c>
      <c r="I8" t="s">
        <v>16</v>
      </c>
      <c r="J8" t="s">
        <v>17</v>
      </c>
      <c r="K8" t="s">
        <v>31</v>
      </c>
      <c r="L8">
        <v>8000</v>
      </c>
    </row>
    <row r="9" spans="1:12" x14ac:dyDescent="0.3">
      <c r="A9" t="s">
        <v>41</v>
      </c>
      <c r="B9" t="s">
        <v>42</v>
      </c>
      <c r="C9" t="s">
        <v>14</v>
      </c>
      <c r="D9" t="s">
        <v>15</v>
      </c>
      <c r="E9" s="2">
        <v>45942</v>
      </c>
      <c r="F9" s="2">
        <v>45942</v>
      </c>
      <c r="G9" s="2">
        <v>46077</v>
      </c>
      <c r="H9">
        <v>12000</v>
      </c>
      <c r="I9" t="s">
        <v>16</v>
      </c>
      <c r="J9" t="s">
        <v>17</v>
      </c>
      <c r="K9" t="s">
        <v>18</v>
      </c>
      <c r="L9">
        <v>12000</v>
      </c>
    </row>
    <row r="10" spans="1:12" x14ac:dyDescent="0.3">
      <c r="A10" t="s">
        <v>43</v>
      </c>
      <c r="B10" t="s">
        <v>44</v>
      </c>
      <c r="C10" t="s">
        <v>14</v>
      </c>
      <c r="D10" t="s">
        <v>45</v>
      </c>
      <c r="E10" s="2">
        <v>46012</v>
      </c>
      <c r="F10" s="2">
        <v>46012</v>
      </c>
      <c r="G10" s="2">
        <v>46297</v>
      </c>
      <c r="H10">
        <v>15000</v>
      </c>
      <c r="I10" t="s">
        <v>16</v>
      </c>
      <c r="J10" t="s">
        <v>35</v>
      </c>
      <c r="K10" t="s">
        <v>31</v>
      </c>
      <c r="L10">
        <v>15000</v>
      </c>
    </row>
    <row r="11" spans="1:12" x14ac:dyDescent="0.3">
      <c r="A11" t="s">
        <v>46</v>
      </c>
      <c r="B11" t="s">
        <v>47</v>
      </c>
      <c r="C11" t="s">
        <v>29</v>
      </c>
      <c r="D11" t="s">
        <v>30</v>
      </c>
      <c r="E11" s="2">
        <v>45765</v>
      </c>
      <c r="F11" s="2">
        <v>45765</v>
      </c>
      <c r="G11" s="2">
        <v>46041</v>
      </c>
      <c r="H11">
        <v>15000</v>
      </c>
      <c r="I11" t="s">
        <v>23</v>
      </c>
      <c r="J11" t="s">
        <v>17</v>
      </c>
      <c r="K11" t="s">
        <v>18</v>
      </c>
      <c r="L11">
        <v>15000</v>
      </c>
    </row>
    <row r="12" spans="1:12" x14ac:dyDescent="0.3">
      <c r="A12" t="s">
        <v>48</v>
      </c>
      <c r="B12" t="s">
        <v>49</v>
      </c>
      <c r="C12" t="s">
        <v>38</v>
      </c>
      <c r="D12" t="s">
        <v>34</v>
      </c>
      <c r="E12" s="2">
        <v>45925</v>
      </c>
      <c r="F12" s="2">
        <v>45925</v>
      </c>
      <c r="G12" s="2">
        <v>46130</v>
      </c>
      <c r="H12">
        <v>18000</v>
      </c>
      <c r="I12" t="s">
        <v>23</v>
      </c>
      <c r="J12" t="s">
        <v>35</v>
      </c>
      <c r="K12" t="s">
        <v>18</v>
      </c>
      <c r="L12">
        <v>18000</v>
      </c>
    </row>
    <row r="13" spans="1:12" x14ac:dyDescent="0.3">
      <c r="A13" t="s">
        <v>50</v>
      </c>
      <c r="B13" t="s">
        <v>51</v>
      </c>
      <c r="C13" t="s">
        <v>29</v>
      </c>
      <c r="D13" t="s">
        <v>34</v>
      </c>
      <c r="E13" s="2">
        <v>46000</v>
      </c>
      <c r="F13" s="2">
        <v>46000</v>
      </c>
      <c r="G13" s="2">
        <v>46334</v>
      </c>
      <c r="H13">
        <v>8000</v>
      </c>
      <c r="I13" t="s">
        <v>16</v>
      </c>
      <c r="J13" t="s">
        <v>35</v>
      </c>
      <c r="K13" t="s">
        <v>18</v>
      </c>
      <c r="L13">
        <v>8000</v>
      </c>
    </row>
    <row r="14" spans="1:12" x14ac:dyDescent="0.3">
      <c r="A14" t="s">
        <v>52</v>
      </c>
      <c r="B14" t="s">
        <v>53</v>
      </c>
      <c r="C14" t="s">
        <v>14</v>
      </c>
      <c r="D14" t="s">
        <v>34</v>
      </c>
      <c r="E14" s="2">
        <v>45912</v>
      </c>
      <c r="F14" s="2">
        <v>45912</v>
      </c>
      <c r="G14" s="2">
        <v>46171</v>
      </c>
      <c r="H14">
        <v>10000</v>
      </c>
      <c r="I14" t="s">
        <v>16</v>
      </c>
      <c r="J14" t="s">
        <v>35</v>
      </c>
      <c r="K14" t="s">
        <v>31</v>
      </c>
      <c r="L14">
        <v>10000</v>
      </c>
    </row>
    <row r="15" spans="1:12" x14ac:dyDescent="0.3">
      <c r="A15" t="s">
        <v>54</v>
      </c>
      <c r="B15" t="s">
        <v>55</v>
      </c>
      <c r="C15" t="s">
        <v>14</v>
      </c>
      <c r="D15" t="s">
        <v>22</v>
      </c>
      <c r="E15" s="2">
        <v>46083</v>
      </c>
      <c r="F15" s="2">
        <v>46083</v>
      </c>
      <c r="G15" s="2">
        <v>46172</v>
      </c>
      <c r="H15">
        <v>12000</v>
      </c>
      <c r="I15" t="s">
        <v>16</v>
      </c>
      <c r="J15" t="s">
        <v>17</v>
      </c>
      <c r="K15" t="s">
        <v>18</v>
      </c>
      <c r="L15">
        <v>12000</v>
      </c>
    </row>
    <row r="16" spans="1:12" x14ac:dyDescent="0.3">
      <c r="A16" t="s">
        <v>56</v>
      </c>
      <c r="B16" t="s">
        <v>57</v>
      </c>
      <c r="C16" t="s">
        <v>14</v>
      </c>
      <c r="D16" t="s">
        <v>15</v>
      </c>
      <c r="E16" s="2">
        <v>45870</v>
      </c>
      <c r="F16" s="2">
        <v>45870</v>
      </c>
      <c r="G16" s="2">
        <v>46028</v>
      </c>
      <c r="H16">
        <v>18000</v>
      </c>
      <c r="I16" t="s">
        <v>16</v>
      </c>
      <c r="J16" t="s">
        <v>35</v>
      </c>
      <c r="K16" t="s">
        <v>31</v>
      </c>
      <c r="L16">
        <v>18000</v>
      </c>
    </row>
    <row r="17" spans="1:12" x14ac:dyDescent="0.3">
      <c r="A17" t="s">
        <v>58</v>
      </c>
      <c r="B17" t="s">
        <v>59</v>
      </c>
      <c r="C17" t="s">
        <v>29</v>
      </c>
      <c r="D17" t="s">
        <v>30</v>
      </c>
      <c r="E17" s="2">
        <v>46147</v>
      </c>
      <c r="F17" s="2">
        <v>45759</v>
      </c>
      <c r="G17" s="2">
        <v>46036</v>
      </c>
      <c r="H17">
        <v>12000</v>
      </c>
      <c r="I17" t="s">
        <v>23</v>
      </c>
      <c r="J17" t="s">
        <v>17</v>
      </c>
      <c r="K17" t="s">
        <v>18</v>
      </c>
      <c r="L17">
        <v>12000</v>
      </c>
    </row>
    <row r="18" spans="1:12" x14ac:dyDescent="0.3">
      <c r="A18" t="s">
        <v>60</v>
      </c>
      <c r="B18" t="s">
        <v>61</v>
      </c>
      <c r="C18" t="s">
        <v>21</v>
      </c>
      <c r="D18" t="s">
        <v>30</v>
      </c>
      <c r="E18" s="2">
        <v>46035</v>
      </c>
      <c r="F18" s="2">
        <v>46035</v>
      </c>
      <c r="G18" s="2">
        <v>46182</v>
      </c>
      <c r="H18">
        <v>18000</v>
      </c>
      <c r="I18" t="s">
        <v>16</v>
      </c>
      <c r="J18" t="s">
        <v>35</v>
      </c>
      <c r="K18" t="s">
        <v>26</v>
      </c>
      <c r="L18">
        <v>18000</v>
      </c>
    </row>
    <row r="19" spans="1:12" x14ac:dyDescent="0.3">
      <c r="A19" t="s">
        <v>62</v>
      </c>
      <c r="B19" t="s">
        <v>63</v>
      </c>
      <c r="C19" t="s">
        <v>38</v>
      </c>
      <c r="D19" t="s">
        <v>34</v>
      </c>
      <c r="E19" s="2">
        <v>45779</v>
      </c>
      <c r="F19" s="2">
        <v>45779</v>
      </c>
      <c r="G19" s="2">
        <v>46141</v>
      </c>
      <c r="H19">
        <v>18000</v>
      </c>
      <c r="I19" t="s">
        <v>16</v>
      </c>
      <c r="J19" t="s">
        <v>17</v>
      </c>
      <c r="K19" t="s">
        <v>18</v>
      </c>
      <c r="L19">
        <v>18000</v>
      </c>
    </row>
    <row r="20" spans="1:12" x14ac:dyDescent="0.3">
      <c r="A20" t="s">
        <v>64</v>
      </c>
      <c r="B20" t="s">
        <v>65</v>
      </c>
      <c r="C20" t="s">
        <v>38</v>
      </c>
      <c r="D20" t="s">
        <v>34</v>
      </c>
      <c r="E20" s="2">
        <v>45758</v>
      </c>
      <c r="F20" s="2">
        <v>45758</v>
      </c>
      <c r="G20" s="2">
        <v>45965</v>
      </c>
      <c r="H20">
        <v>8000</v>
      </c>
      <c r="I20" t="s">
        <v>16</v>
      </c>
      <c r="J20" t="s">
        <v>35</v>
      </c>
      <c r="K20" t="s">
        <v>18</v>
      </c>
      <c r="L20">
        <v>8000</v>
      </c>
    </row>
    <row r="21" spans="1:12" x14ac:dyDescent="0.3">
      <c r="A21" t="s">
        <v>66</v>
      </c>
      <c r="B21" t="s">
        <v>67</v>
      </c>
      <c r="C21" t="s">
        <v>29</v>
      </c>
      <c r="D21" t="s">
        <v>15</v>
      </c>
      <c r="E21" s="2">
        <v>46129</v>
      </c>
      <c r="F21" s="2">
        <v>46129</v>
      </c>
      <c r="G21" s="2">
        <v>46412</v>
      </c>
      <c r="H21">
        <v>12000</v>
      </c>
      <c r="I21" t="s">
        <v>16</v>
      </c>
      <c r="J21" t="s">
        <v>17</v>
      </c>
      <c r="K21" t="s">
        <v>68</v>
      </c>
      <c r="L21">
        <v>12000</v>
      </c>
    </row>
    <row r="22" spans="1:12" x14ac:dyDescent="0.3">
      <c r="A22" t="s">
        <v>69</v>
      </c>
      <c r="B22" t="s">
        <v>70</v>
      </c>
      <c r="C22" t="s">
        <v>38</v>
      </c>
      <c r="D22" t="s">
        <v>15</v>
      </c>
      <c r="E22" s="2">
        <v>46064</v>
      </c>
      <c r="F22" s="2">
        <v>46064</v>
      </c>
      <c r="G22" s="2">
        <v>46257</v>
      </c>
      <c r="H22">
        <v>12000</v>
      </c>
      <c r="I22" t="s">
        <v>16</v>
      </c>
      <c r="J22" t="s">
        <v>17</v>
      </c>
      <c r="K22" t="s">
        <v>18</v>
      </c>
      <c r="L22">
        <v>12000</v>
      </c>
    </row>
    <row r="23" spans="1:12" x14ac:dyDescent="0.3">
      <c r="A23" t="s">
        <v>71</v>
      </c>
      <c r="B23" t="s">
        <v>72</v>
      </c>
      <c r="C23" t="s">
        <v>14</v>
      </c>
      <c r="D23" t="s">
        <v>15</v>
      </c>
      <c r="E23" s="2">
        <v>45700</v>
      </c>
      <c r="F23" s="2">
        <v>45700</v>
      </c>
      <c r="G23" s="2">
        <v>45882</v>
      </c>
      <c r="H23">
        <v>18000</v>
      </c>
      <c r="I23" t="s">
        <v>23</v>
      </c>
      <c r="J23" t="s">
        <v>35</v>
      </c>
      <c r="K23" t="s">
        <v>31</v>
      </c>
      <c r="L23">
        <v>18000</v>
      </c>
    </row>
    <row r="24" spans="1:12" x14ac:dyDescent="0.3">
      <c r="A24" t="s">
        <v>73</v>
      </c>
      <c r="B24" t="s">
        <v>74</v>
      </c>
      <c r="C24" t="s">
        <v>38</v>
      </c>
      <c r="D24" t="s">
        <v>45</v>
      </c>
      <c r="E24" s="2">
        <v>46009</v>
      </c>
      <c r="F24" s="2">
        <v>46009</v>
      </c>
      <c r="G24" s="2">
        <v>46292</v>
      </c>
      <c r="H24">
        <v>15000</v>
      </c>
      <c r="I24" t="s">
        <v>23</v>
      </c>
      <c r="J24" t="s">
        <v>35</v>
      </c>
      <c r="K24" t="s">
        <v>18</v>
      </c>
      <c r="L24">
        <v>15000</v>
      </c>
    </row>
    <row r="25" spans="1:12" x14ac:dyDescent="0.3">
      <c r="A25" t="s">
        <v>75</v>
      </c>
      <c r="B25" t="s">
        <v>76</v>
      </c>
      <c r="C25" t="s">
        <v>29</v>
      </c>
      <c r="D25" t="s">
        <v>22</v>
      </c>
      <c r="E25" s="2">
        <v>45752</v>
      </c>
      <c r="F25" s="2">
        <v>45752</v>
      </c>
      <c r="G25" s="2">
        <v>45949</v>
      </c>
      <c r="H25">
        <v>18000</v>
      </c>
      <c r="I25" t="s">
        <v>16</v>
      </c>
      <c r="J25" t="s">
        <v>17</v>
      </c>
      <c r="K25" t="s">
        <v>26</v>
      </c>
      <c r="L25">
        <v>18000</v>
      </c>
    </row>
    <row r="26" spans="1:12" x14ac:dyDescent="0.3">
      <c r="A26" t="s">
        <v>77</v>
      </c>
      <c r="B26" t="s">
        <v>78</v>
      </c>
      <c r="C26" t="s">
        <v>14</v>
      </c>
      <c r="D26" t="s">
        <v>30</v>
      </c>
      <c r="E26" s="2">
        <v>45924</v>
      </c>
      <c r="F26" s="2">
        <v>45924</v>
      </c>
      <c r="G26" s="2">
        <v>46132</v>
      </c>
      <c r="H26">
        <v>10000</v>
      </c>
      <c r="I26" t="s">
        <v>16</v>
      </c>
      <c r="J26" t="s">
        <v>35</v>
      </c>
      <c r="K26" t="s">
        <v>26</v>
      </c>
      <c r="L26">
        <v>10000</v>
      </c>
    </row>
    <row r="27" spans="1:12" x14ac:dyDescent="0.3">
      <c r="A27" t="s">
        <v>79</v>
      </c>
      <c r="B27" t="s">
        <v>80</v>
      </c>
      <c r="C27" t="s">
        <v>38</v>
      </c>
      <c r="D27" t="s">
        <v>22</v>
      </c>
      <c r="E27" s="2">
        <v>45932</v>
      </c>
      <c r="F27" s="2">
        <v>45932</v>
      </c>
      <c r="G27" s="2">
        <v>46148</v>
      </c>
      <c r="H27">
        <v>12000</v>
      </c>
      <c r="I27" t="s">
        <v>16</v>
      </c>
      <c r="J27" t="s">
        <v>17</v>
      </c>
      <c r="K27" t="s">
        <v>68</v>
      </c>
      <c r="L27">
        <v>12000</v>
      </c>
    </row>
    <row r="28" spans="1:12" x14ac:dyDescent="0.3">
      <c r="A28" t="s">
        <v>81</v>
      </c>
      <c r="B28" t="s">
        <v>82</v>
      </c>
      <c r="C28" t="s">
        <v>38</v>
      </c>
      <c r="D28" t="s">
        <v>22</v>
      </c>
      <c r="E28" s="2">
        <v>45867</v>
      </c>
      <c r="F28" s="2">
        <v>45867</v>
      </c>
      <c r="G28" s="2">
        <v>46180</v>
      </c>
      <c r="H28">
        <v>8000</v>
      </c>
      <c r="I28" t="s">
        <v>23</v>
      </c>
      <c r="J28" t="s">
        <v>35</v>
      </c>
      <c r="K28" t="s">
        <v>68</v>
      </c>
      <c r="L28">
        <v>8000</v>
      </c>
    </row>
    <row r="29" spans="1:12" x14ac:dyDescent="0.3">
      <c r="A29" t="s">
        <v>83</v>
      </c>
      <c r="B29" t="s">
        <v>84</v>
      </c>
      <c r="C29" t="s">
        <v>14</v>
      </c>
      <c r="D29" t="s">
        <v>15</v>
      </c>
      <c r="E29" s="2">
        <v>45779</v>
      </c>
      <c r="F29" s="2">
        <v>45779</v>
      </c>
      <c r="G29" s="2">
        <v>45972</v>
      </c>
      <c r="H29">
        <v>10000</v>
      </c>
      <c r="I29" t="s">
        <v>23</v>
      </c>
      <c r="J29" t="s">
        <v>35</v>
      </c>
      <c r="K29" t="s">
        <v>31</v>
      </c>
      <c r="L29">
        <v>10000</v>
      </c>
    </row>
    <row r="30" spans="1:12" x14ac:dyDescent="0.3">
      <c r="A30" t="s">
        <v>85</v>
      </c>
      <c r="B30" t="s">
        <v>86</v>
      </c>
      <c r="C30" t="s">
        <v>38</v>
      </c>
      <c r="D30" t="s">
        <v>45</v>
      </c>
      <c r="E30" s="2">
        <v>46094</v>
      </c>
      <c r="F30" s="2">
        <v>46094</v>
      </c>
      <c r="G30" s="2">
        <v>46143</v>
      </c>
      <c r="H30">
        <v>8000</v>
      </c>
      <c r="I30" t="s">
        <v>16</v>
      </c>
      <c r="J30" t="s">
        <v>17</v>
      </c>
      <c r="K30" t="s">
        <v>18</v>
      </c>
      <c r="L30">
        <v>8000</v>
      </c>
    </row>
    <row r="31" spans="1:12" x14ac:dyDescent="0.3">
      <c r="A31" t="s">
        <v>87</v>
      </c>
      <c r="B31" t="s">
        <v>88</v>
      </c>
      <c r="C31" t="s">
        <v>38</v>
      </c>
      <c r="D31" t="s">
        <v>15</v>
      </c>
      <c r="E31" s="2">
        <v>45799</v>
      </c>
      <c r="F31" s="2">
        <v>45799</v>
      </c>
      <c r="G31" s="2">
        <v>45916</v>
      </c>
      <c r="H31">
        <v>8000</v>
      </c>
      <c r="I31" t="s">
        <v>16</v>
      </c>
      <c r="J31" t="s">
        <v>35</v>
      </c>
      <c r="K31" t="s">
        <v>26</v>
      </c>
      <c r="L31">
        <v>8000</v>
      </c>
    </row>
    <row r="32" spans="1:12" x14ac:dyDescent="0.3">
      <c r="A32" t="s">
        <v>89</v>
      </c>
      <c r="B32" t="s">
        <v>90</v>
      </c>
      <c r="C32" t="s">
        <v>29</v>
      </c>
      <c r="D32" t="s">
        <v>30</v>
      </c>
      <c r="E32" s="2">
        <v>46098</v>
      </c>
      <c r="F32" s="2">
        <v>46098</v>
      </c>
      <c r="G32" s="2">
        <v>46327</v>
      </c>
      <c r="H32">
        <v>15000</v>
      </c>
      <c r="I32" t="s">
        <v>16</v>
      </c>
      <c r="J32" t="s">
        <v>35</v>
      </c>
      <c r="K32" t="s">
        <v>18</v>
      </c>
      <c r="L32">
        <v>15000</v>
      </c>
    </row>
    <row r="33" spans="1:12" x14ac:dyDescent="0.3">
      <c r="A33" t="s">
        <v>91</v>
      </c>
      <c r="B33" t="s">
        <v>92</v>
      </c>
      <c r="C33" t="s">
        <v>38</v>
      </c>
      <c r="D33" t="s">
        <v>45</v>
      </c>
      <c r="E33" s="2">
        <v>45812</v>
      </c>
      <c r="F33" s="2">
        <v>45812</v>
      </c>
      <c r="G33" s="2">
        <v>46098</v>
      </c>
      <c r="H33">
        <v>15000</v>
      </c>
      <c r="I33" t="s">
        <v>23</v>
      </c>
      <c r="J33" t="s">
        <v>17</v>
      </c>
      <c r="K33" t="s">
        <v>68</v>
      </c>
      <c r="L33">
        <v>15000</v>
      </c>
    </row>
    <row r="34" spans="1:12" x14ac:dyDescent="0.3">
      <c r="A34" t="s">
        <v>93</v>
      </c>
      <c r="B34" t="s">
        <v>94</v>
      </c>
      <c r="C34" t="s">
        <v>38</v>
      </c>
      <c r="D34" t="s">
        <v>45</v>
      </c>
      <c r="E34" s="2">
        <v>46173</v>
      </c>
      <c r="F34" s="2">
        <v>45861</v>
      </c>
      <c r="G34" s="2">
        <v>46195</v>
      </c>
      <c r="H34">
        <v>12000</v>
      </c>
      <c r="I34" t="s">
        <v>16</v>
      </c>
      <c r="J34" t="s">
        <v>17</v>
      </c>
      <c r="K34" t="s">
        <v>18</v>
      </c>
      <c r="L34">
        <v>12000</v>
      </c>
    </row>
    <row r="35" spans="1:12" x14ac:dyDescent="0.3">
      <c r="A35" t="s">
        <v>95</v>
      </c>
      <c r="B35" t="s">
        <v>96</v>
      </c>
      <c r="C35" t="s">
        <v>14</v>
      </c>
      <c r="D35" t="s">
        <v>30</v>
      </c>
      <c r="E35" s="2">
        <v>45690</v>
      </c>
      <c r="F35" s="2">
        <v>45690</v>
      </c>
      <c r="G35" s="2">
        <v>45951</v>
      </c>
      <c r="H35">
        <v>12000</v>
      </c>
      <c r="I35" t="s">
        <v>23</v>
      </c>
      <c r="J35" t="s">
        <v>35</v>
      </c>
      <c r="K35" t="s">
        <v>18</v>
      </c>
      <c r="L35">
        <v>12000</v>
      </c>
    </row>
    <row r="36" spans="1:12" x14ac:dyDescent="0.3">
      <c r="A36" t="s">
        <v>97</v>
      </c>
      <c r="B36" t="s">
        <v>98</v>
      </c>
      <c r="C36" t="s">
        <v>14</v>
      </c>
      <c r="D36" t="s">
        <v>22</v>
      </c>
      <c r="E36" s="2">
        <v>45708</v>
      </c>
      <c r="F36" s="2">
        <v>45708</v>
      </c>
      <c r="G36" s="2">
        <v>45961</v>
      </c>
      <c r="H36">
        <v>10000</v>
      </c>
      <c r="I36" t="s">
        <v>16</v>
      </c>
      <c r="J36" t="s">
        <v>35</v>
      </c>
      <c r="K36" t="s">
        <v>68</v>
      </c>
      <c r="L36">
        <v>10000</v>
      </c>
    </row>
    <row r="37" spans="1:12" x14ac:dyDescent="0.3">
      <c r="A37" t="s">
        <v>99</v>
      </c>
      <c r="B37" t="s">
        <v>100</v>
      </c>
      <c r="C37" t="s">
        <v>38</v>
      </c>
      <c r="D37" t="s">
        <v>22</v>
      </c>
      <c r="E37" s="2">
        <v>45804</v>
      </c>
      <c r="F37" s="2">
        <v>45804</v>
      </c>
      <c r="G37" s="2">
        <v>46069</v>
      </c>
      <c r="H37">
        <v>8000</v>
      </c>
      <c r="I37" t="s">
        <v>16</v>
      </c>
      <c r="J37" t="s">
        <v>17</v>
      </c>
      <c r="K37" t="s">
        <v>26</v>
      </c>
      <c r="L37">
        <v>8000</v>
      </c>
    </row>
    <row r="38" spans="1:12" x14ac:dyDescent="0.3">
      <c r="A38" t="s">
        <v>101</v>
      </c>
      <c r="B38" t="s">
        <v>102</v>
      </c>
      <c r="C38" t="s">
        <v>29</v>
      </c>
      <c r="D38" t="s">
        <v>30</v>
      </c>
      <c r="E38" s="2">
        <v>46031</v>
      </c>
      <c r="F38" s="2">
        <v>46031</v>
      </c>
      <c r="G38" s="2">
        <v>46223</v>
      </c>
      <c r="H38">
        <v>18000</v>
      </c>
      <c r="I38" t="s">
        <v>23</v>
      </c>
      <c r="J38" t="s">
        <v>17</v>
      </c>
      <c r="K38" t="s">
        <v>68</v>
      </c>
      <c r="L38">
        <v>18000</v>
      </c>
    </row>
    <row r="39" spans="1:12" x14ac:dyDescent="0.3">
      <c r="A39" t="s">
        <v>103</v>
      </c>
      <c r="B39" t="s">
        <v>104</v>
      </c>
      <c r="C39" t="s">
        <v>14</v>
      </c>
      <c r="D39" t="s">
        <v>45</v>
      </c>
      <c r="E39" s="2">
        <v>45905</v>
      </c>
      <c r="F39" s="2">
        <v>45905</v>
      </c>
      <c r="G39" s="2">
        <v>46134</v>
      </c>
      <c r="H39">
        <v>18000</v>
      </c>
      <c r="I39" t="s">
        <v>23</v>
      </c>
      <c r="J39" t="s">
        <v>35</v>
      </c>
      <c r="K39" t="s">
        <v>26</v>
      </c>
      <c r="L39">
        <v>18000</v>
      </c>
    </row>
    <row r="40" spans="1:12" x14ac:dyDescent="0.3">
      <c r="A40" t="s">
        <v>105</v>
      </c>
      <c r="B40" t="s">
        <v>106</v>
      </c>
      <c r="C40" t="s">
        <v>14</v>
      </c>
      <c r="D40" t="s">
        <v>22</v>
      </c>
      <c r="E40" s="2">
        <v>45836</v>
      </c>
      <c r="F40" s="2">
        <v>45836</v>
      </c>
      <c r="G40" s="2">
        <v>46086</v>
      </c>
      <c r="H40">
        <v>12000</v>
      </c>
      <c r="I40" t="s">
        <v>23</v>
      </c>
      <c r="J40" t="s">
        <v>17</v>
      </c>
      <c r="K40" t="s">
        <v>31</v>
      </c>
      <c r="L40">
        <v>12000</v>
      </c>
    </row>
    <row r="41" spans="1:12" x14ac:dyDescent="0.3">
      <c r="A41" t="s">
        <v>107</v>
      </c>
      <c r="B41" t="s">
        <v>108</v>
      </c>
      <c r="C41" t="s">
        <v>14</v>
      </c>
      <c r="D41" t="s">
        <v>30</v>
      </c>
      <c r="E41" s="2">
        <v>45887</v>
      </c>
      <c r="F41" s="2">
        <v>45887</v>
      </c>
      <c r="G41" s="2">
        <v>46079</v>
      </c>
      <c r="H41">
        <v>8000</v>
      </c>
      <c r="I41" t="s">
        <v>16</v>
      </c>
      <c r="J41" t="s">
        <v>17</v>
      </c>
      <c r="K41" t="s">
        <v>68</v>
      </c>
      <c r="L41">
        <v>8000</v>
      </c>
    </row>
    <row r="42" spans="1:12" x14ac:dyDescent="0.3">
      <c r="A42" t="s">
        <v>109</v>
      </c>
      <c r="B42" t="s">
        <v>110</v>
      </c>
      <c r="C42" t="s">
        <v>29</v>
      </c>
      <c r="D42" t="s">
        <v>22</v>
      </c>
      <c r="E42" s="2">
        <v>46011</v>
      </c>
      <c r="F42" s="2">
        <v>46011</v>
      </c>
      <c r="G42" s="2">
        <v>46280</v>
      </c>
      <c r="H42">
        <v>12000</v>
      </c>
      <c r="I42" t="s">
        <v>23</v>
      </c>
      <c r="J42" t="s">
        <v>35</v>
      </c>
      <c r="K42" t="s">
        <v>68</v>
      </c>
      <c r="L42">
        <v>12000</v>
      </c>
    </row>
    <row r="43" spans="1:12" x14ac:dyDescent="0.3">
      <c r="A43" t="s">
        <v>111</v>
      </c>
      <c r="B43" t="s">
        <v>112</v>
      </c>
      <c r="C43" t="s">
        <v>21</v>
      </c>
      <c r="D43" t="s">
        <v>45</v>
      </c>
      <c r="E43" s="2">
        <v>46101</v>
      </c>
      <c r="F43" s="2">
        <v>46101</v>
      </c>
      <c r="G43" s="2">
        <v>46252</v>
      </c>
      <c r="H43">
        <v>12000</v>
      </c>
      <c r="I43" t="s">
        <v>16</v>
      </c>
      <c r="J43" t="s">
        <v>35</v>
      </c>
      <c r="K43" t="s">
        <v>68</v>
      </c>
      <c r="L43">
        <v>12000</v>
      </c>
    </row>
    <row r="44" spans="1:12" x14ac:dyDescent="0.3">
      <c r="A44" t="s">
        <v>113</v>
      </c>
      <c r="B44" t="s">
        <v>114</v>
      </c>
      <c r="C44" t="s">
        <v>38</v>
      </c>
      <c r="D44" t="s">
        <v>34</v>
      </c>
      <c r="E44" s="2">
        <v>46093</v>
      </c>
      <c r="F44" s="2">
        <v>46093</v>
      </c>
      <c r="G44" s="2">
        <v>46351</v>
      </c>
      <c r="H44">
        <v>15000</v>
      </c>
      <c r="I44" t="s">
        <v>23</v>
      </c>
      <c r="J44" t="s">
        <v>17</v>
      </c>
      <c r="K44" t="s">
        <v>26</v>
      </c>
      <c r="L44">
        <v>15000</v>
      </c>
    </row>
    <row r="45" spans="1:12" x14ac:dyDescent="0.3">
      <c r="A45" t="s">
        <v>115</v>
      </c>
      <c r="B45" t="s">
        <v>116</v>
      </c>
      <c r="C45" t="s">
        <v>14</v>
      </c>
      <c r="D45" t="s">
        <v>30</v>
      </c>
      <c r="E45" s="2">
        <v>45763</v>
      </c>
      <c r="F45" s="2">
        <v>45763</v>
      </c>
      <c r="G45" s="2">
        <v>46170</v>
      </c>
      <c r="H45">
        <v>10000</v>
      </c>
      <c r="I45" t="s">
        <v>16</v>
      </c>
      <c r="J45" t="s">
        <v>17</v>
      </c>
      <c r="K45" t="s">
        <v>31</v>
      </c>
      <c r="L45">
        <v>10000</v>
      </c>
    </row>
    <row r="46" spans="1:12" x14ac:dyDescent="0.3">
      <c r="A46" t="s">
        <v>117</v>
      </c>
      <c r="B46" t="s">
        <v>118</v>
      </c>
      <c r="C46" t="s">
        <v>14</v>
      </c>
      <c r="D46" t="s">
        <v>22</v>
      </c>
      <c r="E46" s="2">
        <v>45892</v>
      </c>
      <c r="F46" s="2">
        <v>45892</v>
      </c>
      <c r="G46" s="2">
        <v>46157</v>
      </c>
      <c r="H46">
        <v>8000</v>
      </c>
      <c r="I46" t="s">
        <v>23</v>
      </c>
      <c r="J46" t="s">
        <v>35</v>
      </c>
      <c r="K46" t="s">
        <v>26</v>
      </c>
      <c r="L46">
        <v>8000</v>
      </c>
    </row>
    <row r="47" spans="1:12" x14ac:dyDescent="0.3">
      <c r="A47" t="s">
        <v>119</v>
      </c>
      <c r="B47" t="s">
        <v>120</v>
      </c>
      <c r="C47" t="s">
        <v>14</v>
      </c>
      <c r="D47" t="s">
        <v>30</v>
      </c>
      <c r="E47" s="2">
        <v>45895</v>
      </c>
      <c r="F47" s="2">
        <v>45895</v>
      </c>
      <c r="G47" s="2">
        <v>46073</v>
      </c>
      <c r="H47">
        <v>8000</v>
      </c>
      <c r="I47" t="s">
        <v>16</v>
      </c>
      <c r="J47" t="s">
        <v>17</v>
      </c>
      <c r="K47" t="s">
        <v>31</v>
      </c>
      <c r="L47">
        <v>8000</v>
      </c>
    </row>
    <row r="48" spans="1:12" x14ac:dyDescent="0.3">
      <c r="A48" t="s">
        <v>121</v>
      </c>
      <c r="B48" t="s">
        <v>122</v>
      </c>
      <c r="C48" t="s">
        <v>14</v>
      </c>
      <c r="D48" t="s">
        <v>15</v>
      </c>
      <c r="E48" s="2">
        <v>46130</v>
      </c>
      <c r="F48" s="2">
        <v>46130</v>
      </c>
      <c r="G48" s="2">
        <v>46455</v>
      </c>
      <c r="H48">
        <v>10000</v>
      </c>
      <c r="I48" t="s">
        <v>23</v>
      </c>
      <c r="J48" t="s">
        <v>35</v>
      </c>
      <c r="K48" t="s">
        <v>18</v>
      </c>
      <c r="L48">
        <v>10000</v>
      </c>
    </row>
    <row r="49" spans="1:12" x14ac:dyDescent="0.3">
      <c r="A49" t="s">
        <v>123</v>
      </c>
      <c r="B49" t="s">
        <v>124</v>
      </c>
      <c r="C49" t="s">
        <v>21</v>
      </c>
      <c r="D49" t="s">
        <v>30</v>
      </c>
      <c r="E49" s="2">
        <v>45903</v>
      </c>
      <c r="F49" s="2">
        <v>45903</v>
      </c>
      <c r="G49" s="2">
        <v>46166</v>
      </c>
      <c r="H49">
        <v>12000</v>
      </c>
      <c r="I49" t="s">
        <v>23</v>
      </c>
      <c r="J49" t="s">
        <v>17</v>
      </c>
      <c r="K49" t="s">
        <v>31</v>
      </c>
      <c r="L49">
        <v>12000</v>
      </c>
    </row>
    <row r="50" spans="1:12" x14ac:dyDescent="0.3">
      <c r="A50" t="s">
        <v>125</v>
      </c>
      <c r="B50" t="s">
        <v>126</v>
      </c>
      <c r="C50" t="s">
        <v>38</v>
      </c>
      <c r="D50" t="s">
        <v>15</v>
      </c>
      <c r="E50" s="2">
        <v>45918</v>
      </c>
      <c r="F50" s="2">
        <v>45918</v>
      </c>
      <c r="G50" s="2">
        <v>46179</v>
      </c>
      <c r="H50">
        <v>8000</v>
      </c>
      <c r="I50" t="s">
        <v>23</v>
      </c>
      <c r="J50" t="s">
        <v>35</v>
      </c>
      <c r="K50" t="s">
        <v>18</v>
      </c>
      <c r="L50">
        <v>8000</v>
      </c>
    </row>
    <row r="51" spans="1:12" x14ac:dyDescent="0.3">
      <c r="A51" t="s">
        <v>127</v>
      </c>
      <c r="B51" t="s">
        <v>128</v>
      </c>
      <c r="C51" t="s">
        <v>21</v>
      </c>
      <c r="D51" t="s">
        <v>30</v>
      </c>
      <c r="E51" s="2">
        <v>46153</v>
      </c>
      <c r="F51" s="2">
        <v>46152</v>
      </c>
      <c r="G51" s="2">
        <v>46342</v>
      </c>
      <c r="H51">
        <v>15000</v>
      </c>
      <c r="I51" t="s">
        <v>23</v>
      </c>
      <c r="J51" t="s">
        <v>17</v>
      </c>
      <c r="K51" t="s">
        <v>31</v>
      </c>
      <c r="L51">
        <v>15000</v>
      </c>
    </row>
    <row r="52" spans="1:12" x14ac:dyDescent="0.3">
      <c r="A52" t="s">
        <v>129</v>
      </c>
      <c r="B52" t="s">
        <v>130</v>
      </c>
      <c r="C52" t="s">
        <v>29</v>
      </c>
      <c r="D52" t="s">
        <v>22</v>
      </c>
      <c r="E52" s="2">
        <v>45876</v>
      </c>
      <c r="F52" s="2">
        <v>45876</v>
      </c>
      <c r="G52" s="2">
        <v>46196</v>
      </c>
      <c r="H52">
        <v>15000</v>
      </c>
      <c r="I52" t="s">
        <v>23</v>
      </c>
      <c r="J52" t="s">
        <v>17</v>
      </c>
      <c r="K52" t="s">
        <v>26</v>
      </c>
      <c r="L52">
        <v>15000</v>
      </c>
    </row>
    <row r="53" spans="1:12" x14ac:dyDescent="0.3">
      <c r="A53" t="s">
        <v>131</v>
      </c>
      <c r="B53" t="s">
        <v>132</v>
      </c>
      <c r="C53" t="s">
        <v>21</v>
      </c>
      <c r="D53" t="s">
        <v>30</v>
      </c>
      <c r="E53" s="2">
        <v>46002</v>
      </c>
      <c r="F53" s="2">
        <v>46002</v>
      </c>
      <c r="G53" s="2">
        <v>46335</v>
      </c>
      <c r="H53">
        <v>10000</v>
      </c>
      <c r="I53" t="s">
        <v>16</v>
      </c>
      <c r="J53" t="s">
        <v>17</v>
      </c>
      <c r="K53" t="s">
        <v>31</v>
      </c>
      <c r="L53">
        <v>10000</v>
      </c>
    </row>
    <row r="54" spans="1:12" x14ac:dyDescent="0.3">
      <c r="A54" t="s">
        <v>133</v>
      </c>
      <c r="B54" t="s">
        <v>134</v>
      </c>
      <c r="C54" t="s">
        <v>29</v>
      </c>
      <c r="D54" t="s">
        <v>34</v>
      </c>
      <c r="E54" s="2">
        <v>45836</v>
      </c>
      <c r="F54" s="2">
        <v>45836</v>
      </c>
      <c r="G54" s="2">
        <v>46009</v>
      </c>
      <c r="H54">
        <v>10000</v>
      </c>
      <c r="I54" t="s">
        <v>16</v>
      </c>
      <c r="J54" t="s">
        <v>17</v>
      </c>
      <c r="K54" t="s">
        <v>18</v>
      </c>
      <c r="L54">
        <v>10000</v>
      </c>
    </row>
    <row r="55" spans="1:12" x14ac:dyDescent="0.3">
      <c r="A55" t="s">
        <v>135</v>
      </c>
      <c r="B55" t="s">
        <v>136</v>
      </c>
      <c r="C55" t="s">
        <v>21</v>
      </c>
      <c r="D55" t="s">
        <v>30</v>
      </c>
      <c r="E55" s="2">
        <v>46073</v>
      </c>
      <c r="F55" s="2">
        <v>46073</v>
      </c>
      <c r="G55" s="2">
        <v>46424</v>
      </c>
      <c r="H55">
        <v>8000</v>
      </c>
      <c r="I55" t="s">
        <v>16</v>
      </c>
      <c r="J55" t="s">
        <v>35</v>
      </c>
      <c r="K55" t="s">
        <v>26</v>
      </c>
      <c r="L55">
        <v>8000</v>
      </c>
    </row>
    <row r="56" spans="1:12" x14ac:dyDescent="0.3">
      <c r="A56" t="s">
        <v>137</v>
      </c>
      <c r="B56" t="s">
        <v>138</v>
      </c>
      <c r="C56" t="s">
        <v>38</v>
      </c>
      <c r="D56" t="s">
        <v>34</v>
      </c>
      <c r="E56" s="2">
        <v>46044</v>
      </c>
      <c r="F56" s="2">
        <v>46044</v>
      </c>
      <c r="G56" s="2">
        <v>46319</v>
      </c>
      <c r="H56">
        <v>8000</v>
      </c>
      <c r="I56" t="s">
        <v>16</v>
      </c>
      <c r="J56" t="s">
        <v>17</v>
      </c>
      <c r="K56" t="s">
        <v>68</v>
      </c>
      <c r="L56">
        <v>8000</v>
      </c>
    </row>
    <row r="57" spans="1:12" x14ac:dyDescent="0.3">
      <c r="A57" t="s">
        <v>139</v>
      </c>
      <c r="B57" t="s">
        <v>140</v>
      </c>
      <c r="C57" t="s">
        <v>21</v>
      </c>
      <c r="D57" t="s">
        <v>15</v>
      </c>
      <c r="E57" s="2">
        <v>45938</v>
      </c>
      <c r="F57" s="2">
        <v>45938</v>
      </c>
      <c r="G57" s="2">
        <v>46111</v>
      </c>
      <c r="H57">
        <v>12000</v>
      </c>
      <c r="I57" t="s">
        <v>16</v>
      </c>
      <c r="J57" t="s">
        <v>17</v>
      </c>
      <c r="K57" t="s">
        <v>68</v>
      </c>
      <c r="L57">
        <v>12000</v>
      </c>
    </row>
    <row r="58" spans="1:12" x14ac:dyDescent="0.3">
      <c r="A58" t="s">
        <v>141</v>
      </c>
      <c r="B58" t="s">
        <v>142</v>
      </c>
      <c r="C58" t="s">
        <v>38</v>
      </c>
      <c r="D58" t="s">
        <v>22</v>
      </c>
      <c r="E58" s="2">
        <v>45980</v>
      </c>
      <c r="F58" s="2">
        <v>45980</v>
      </c>
      <c r="G58" s="2">
        <v>46076</v>
      </c>
      <c r="H58">
        <v>12000</v>
      </c>
      <c r="I58" t="s">
        <v>16</v>
      </c>
      <c r="J58" t="s">
        <v>17</v>
      </c>
      <c r="K58" t="s">
        <v>26</v>
      </c>
      <c r="L58">
        <v>12000</v>
      </c>
    </row>
    <row r="59" spans="1:12" x14ac:dyDescent="0.3">
      <c r="A59" t="s">
        <v>143</v>
      </c>
      <c r="B59" t="s">
        <v>144</v>
      </c>
      <c r="C59" t="s">
        <v>21</v>
      </c>
      <c r="D59" t="s">
        <v>34</v>
      </c>
      <c r="E59" s="2">
        <v>46127</v>
      </c>
      <c r="F59" s="2">
        <v>46127</v>
      </c>
      <c r="G59" s="2">
        <v>46237</v>
      </c>
      <c r="H59">
        <v>15000</v>
      </c>
      <c r="I59" t="s">
        <v>16</v>
      </c>
      <c r="J59" t="s">
        <v>17</v>
      </c>
      <c r="K59" t="s">
        <v>18</v>
      </c>
      <c r="L59">
        <v>15000</v>
      </c>
    </row>
    <row r="60" spans="1:12" x14ac:dyDescent="0.3">
      <c r="A60" t="s">
        <v>145</v>
      </c>
      <c r="B60" t="s">
        <v>146</v>
      </c>
      <c r="C60" t="s">
        <v>29</v>
      </c>
      <c r="D60" t="s">
        <v>22</v>
      </c>
      <c r="E60" s="2">
        <v>45759</v>
      </c>
      <c r="F60" s="2">
        <v>45759</v>
      </c>
      <c r="G60" s="2">
        <v>46143</v>
      </c>
      <c r="H60">
        <v>15000</v>
      </c>
      <c r="I60" t="s">
        <v>16</v>
      </c>
      <c r="J60" t="s">
        <v>35</v>
      </c>
      <c r="K60" t="s">
        <v>68</v>
      </c>
      <c r="L60">
        <v>15000</v>
      </c>
    </row>
    <row r="61" spans="1:12" x14ac:dyDescent="0.3">
      <c r="A61" t="s">
        <v>147</v>
      </c>
      <c r="B61" t="s">
        <v>148</v>
      </c>
      <c r="C61" t="s">
        <v>38</v>
      </c>
      <c r="D61" t="s">
        <v>34</v>
      </c>
      <c r="E61" s="2">
        <v>45680</v>
      </c>
      <c r="F61" s="2">
        <v>45680</v>
      </c>
      <c r="G61" s="2">
        <v>45801</v>
      </c>
      <c r="H61">
        <v>10000</v>
      </c>
      <c r="I61" t="s">
        <v>23</v>
      </c>
      <c r="J61" t="s">
        <v>17</v>
      </c>
      <c r="K61" t="s">
        <v>18</v>
      </c>
      <c r="L61">
        <v>10000</v>
      </c>
    </row>
    <row r="62" spans="1:12" x14ac:dyDescent="0.3">
      <c r="A62" t="s">
        <v>149</v>
      </c>
      <c r="B62" t="s">
        <v>150</v>
      </c>
      <c r="C62" t="s">
        <v>14</v>
      </c>
      <c r="D62" t="s">
        <v>15</v>
      </c>
      <c r="E62" s="2">
        <v>45709</v>
      </c>
      <c r="F62" s="2">
        <v>45709</v>
      </c>
      <c r="G62" s="2">
        <v>45999</v>
      </c>
      <c r="H62">
        <v>10000</v>
      </c>
      <c r="I62" t="s">
        <v>16</v>
      </c>
      <c r="J62" t="s">
        <v>35</v>
      </c>
      <c r="K62" t="s">
        <v>31</v>
      </c>
      <c r="L62">
        <v>10000</v>
      </c>
    </row>
    <row r="63" spans="1:12" x14ac:dyDescent="0.3">
      <c r="A63" t="s">
        <v>151</v>
      </c>
      <c r="B63" t="s">
        <v>152</v>
      </c>
      <c r="C63" t="s">
        <v>29</v>
      </c>
      <c r="D63" t="s">
        <v>22</v>
      </c>
      <c r="E63" s="2">
        <v>45810</v>
      </c>
      <c r="F63" s="2">
        <v>45810</v>
      </c>
      <c r="G63" s="2">
        <v>46074</v>
      </c>
      <c r="H63">
        <v>15000</v>
      </c>
      <c r="I63" t="s">
        <v>23</v>
      </c>
      <c r="J63" t="s">
        <v>17</v>
      </c>
      <c r="K63" t="s">
        <v>18</v>
      </c>
      <c r="L63">
        <v>15000</v>
      </c>
    </row>
    <row r="64" spans="1:12" x14ac:dyDescent="0.3">
      <c r="A64" t="s">
        <v>153</v>
      </c>
      <c r="B64" t="s">
        <v>154</v>
      </c>
      <c r="C64" t="s">
        <v>14</v>
      </c>
      <c r="D64" t="s">
        <v>22</v>
      </c>
      <c r="E64" s="2">
        <v>45814</v>
      </c>
      <c r="F64" s="2">
        <v>45814</v>
      </c>
      <c r="G64" s="2">
        <v>46040</v>
      </c>
      <c r="H64">
        <v>10000</v>
      </c>
      <c r="I64" t="s">
        <v>16</v>
      </c>
      <c r="J64" t="s">
        <v>17</v>
      </c>
      <c r="K64" t="s">
        <v>31</v>
      </c>
      <c r="L64">
        <v>10000</v>
      </c>
    </row>
    <row r="65" spans="1:12" x14ac:dyDescent="0.3">
      <c r="A65" t="s">
        <v>155</v>
      </c>
      <c r="B65" t="s">
        <v>156</v>
      </c>
      <c r="C65" t="s">
        <v>38</v>
      </c>
      <c r="D65" t="s">
        <v>15</v>
      </c>
      <c r="E65" s="2">
        <v>45920</v>
      </c>
      <c r="F65" s="2">
        <v>45920</v>
      </c>
      <c r="G65" s="2">
        <v>46128</v>
      </c>
      <c r="H65">
        <v>12000</v>
      </c>
      <c r="I65" t="s">
        <v>23</v>
      </c>
      <c r="J65" t="s">
        <v>17</v>
      </c>
      <c r="K65" t="s">
        <v>31</v>
      </c>
      <c r="L65">
        <v>12000</v>
      </c>
    </row>
    <row r="66" spans="1:12" x14ac:dyDescent="0.3">
      <c r="A66" t="s">
        <v>157</v>
      </c>
      <c r="B66" t="s">
        <v>158</v>
      </c>
      <c r="C66" t="s">
        <v>21</v>
      </c>
      <c r="D66" t="s">
        <v>15</v>
      </c>
      <c r="E66" s="2">
        <v>45870</v>
      </c>
      <c r="F66" s="2">
        <v>45870</v>
      </c>
      <c r="G66" s="2">
        <v>46107</v>
      </c>
      <c r="H66">
        <v>12000</v>
      </c>
      <c r="I66" t="s">
        <v>16</v>
      </c>
      <c r="J66" t="s">
        <v>17</v>
      </c>
      <c r="K66" t="s">
        <v>26</v>
      </c>
      <c r="L66">
        <v>12000</v>
      </c>
    </row>
    <row r="67" spans="1:12" x14ac:dyDescent="0.3">
      <c r="A67" t="s">
        <v>159</v>
      </c>
      <c r="B67" t="s">
        <v>160</v>
      </c>
      <c r="C67" t="s">
        <v>21</v>
      </c>
      <c r="D67" t="s">
        <v>30</v>
      </c>
      <c r="E67" s="2">
        <v>45875</v>
      </c>
      <c r="F67" s="2">
        <v>45875</v>
      </c>
      <c r="G67" s="2">
        <v>46229</v>
      </c>
      <c r="H67">
        <v>15000</v>
      </c>
      <c r="I67" t="s">
        <v>23</v>
      </c>
      <c r="J67" t="s">
        <v>17</v>
      </c>
      <c r="K67" t="s">
        <v>68</v>
      </c>
      <c r="L67">
        <v>15000</v>
      </c>
    </row>
    <row r="68" spans="1:12" x14ac:dyDescent="0.3">
      <c r="A68" t="s">
        <v>161</v>
      </c>
      <c r="B68" t="s">
        <v>162</v>
      </c>
      <c r="C68" t="s">
        <v>38</v>
      </c>
      <c r="D68" t="s">
        <v>15</v>
      </c>
      <c r="E68" s="2">
        <v>46159</v>
      </c>
      <c r="F68" s="2">
        <v>45936</v>
      </c>
      <c r="G68" s="2">
        <v>46154</v>
      </c>
      <c r="H68">
        <v>10000</v>
      </c>
      <c r="I68" t="s">
        <v>16</v>
      </c>
      <c r="J68" t="s">
        <v>17</v>
      </c>
      <c r="K68" t="s">
        <v>18</v>
      </c>
      <c r="L68">
        <v>10000</v>
      </c>
    </row>
    <row r="69" spans="1:12" x14ac:dyDescent="0.3">
      <c r="A69" t="s">
        <v>163</v>
      </c>
      <c r="B69" t="s">
        <v>164</v>
      </c>
      <c r="C69" t="s">
        <v>38</v>
      </c>
      <c r="D69" t="s">
        <v>22</v>
      </c>
      <c r="E69" s="2">
        <v>46041</v>
      </c>
      <c r="F69" s="2">
        <v>46041</v>
      </c>
      <c r="G69" s="2">
        <v>46304</v>
      </c>
      <c r="H69">
        <v>12000</v>
      </c>
      <c r="I69" t="s">
        <v>16</v>
      </c>
      <c r="J69" t="s">
        <v>17</v>
      </c>
      <c r="K69" t="s">
        <v>26</v>
      </c>
      <c r="L69">
        <v>12000</v>
      </c>
    </row>
    <row r="70" spans="1:12" x14ac:dyDescent="0.3">
      <c r="A70" t="s">
        <v>165</v>
      </c>
      <c r="B70" t="s">
        <v>166</v>
      </c>
      <c r="C70" t="s">
        <v>38</v>
      </c>
      <c r="D70" t="s">
        <v>34</v>
      </c>
      <c r="E70" s="2">
        <v>46055</v>
      </c>
      <c r="F70" s="2">
        <v>46055</v>
      </c>
      <c r="G70" s="2">
        <v>46200</v>
      </c>
      <c r="H70">
        <v>8000</v>
      </c>
      <c r="I70" t="s">
        <v>16</v>
      </c>
      <c r="J70" t="s">
        <v>17</v>
      </c>
      <c r="K70" t="s">
        <v>31</v>
      </c>
      <c r="L70">
        <v>8000</v>
      </c>
    </row>
    <row r="71" spans="1:12" x14ac:dyDescent="0.3">
      <c r="A71" t="s">
        <v>167</v>
      </c>
      <c r="B71" t="s">
        <v>168</v>
      </c>
      <c r="C71" t="s">
        <v>29</v>
      </c>
      <c r="D71" t="s">
        <v>30</v>
      </c>
      <c r="E71" s="2">
        <v>46150</v>
      </c>
      <c r="F71" s="2">
        <v>46150</v>
      </c>
      <c r="G71" s="2">
        <v>46247</v>
      </c>
      <c r="H71">
        <v>10000</v>
      </c>
      <c r="I71" t="s">
        <v>23</v>
      </c>
      <c r="J71" t="s">
        <v>35</v>
      </c>
      <c r="K71" t="s">
        <v>26</v>
      </c>
      <c r="L71">
        <v>10000</v>
      </c>
    </row>
    <row r="72" spans="1:12" x14ac:dyDescent="0.3">
      <c r="A72" t="s">
        <v>169</v>
      </c>
      <c r="B72" t="s">
        <v>170</v>
      </c>
      <c r="C72" t="s">
        <v>29</v>
      </c>
      <c r="D72" t="s">
        <v>15</v>
      </c>
      <c r="E72" s="2">
        <v>46115</v>
      </c>
      <c r="F72" s="2">
        <v>46115</v>
      </c>
      <c r="G72" s="2">
        <v>46287</v>
      </c>
      <c r="H72">
        <v>12000</v>
      </c>
      <c r="I72" t="s">
        <v>16</v>
      </c>
      <c r="J72" t="s">
        <v>17</v>
      </c>
      <c r="K72" t="s">
        <v>26</v>
      </c>
      <c r="L72">
        <v>12000</v>
      </c>
    </row>
    <row r="73" spans="1:12" x14ac:dyDescent="0.3">
      <c r="A73" t="s">
        <v>171</v>
      </c>
      <c r="B73" t="s">
        <v>172</v>
      </c>
      <c r="C73" t="s">
        <v>29</v>
      </c>
      <c r="D73" t="s">
        <v>30</v>
      </c>
      <c r="E73" s="2">
        <v>46069</v>
      </c>
      <c r="F73" s="2">
        <v>46069</v>
      </c>
      <c r="G73" s="2">
        <v>46278</v>
      </c>
      <c r="H73">
        <v>18000</v>
      </c>
      <c r="I73" t="s">
        <v>16</v>
      </c>
      <c r="J73" t="s">
        <v>17</v>
      </c>
      <c r="K73" t="s">
        <v>18</v>
      </c>
      <c r="L73">
        <v>18000</v>
      </c>
    </row>
    <row r="74" spans="1:12" x14ac:dyDescent="0.3">
      <c r="A74" t="s">
        <v>173</v>
      </c>
      <c r="B74" t="s">
        <v>174</v>
      </c>
      <c r="C74" t="s">
        <v>14</v>
      </c>
      <c r="D74" t="s">
        <v>22</v>
      </c>
      <c r="E74" s="2">
        <v>45995</v>
      </c>
      <c r="F74" s="2">
        <v>45995</v>
      </c>
      <c r="G74" s="2">
        <v>46233</v>
      </c>
      <c r="H74">
        <v>15000</v>
      </c>
      <c r="I74" t="s">
        <v>23</v>
      </c>
      <c r="J74" t="s">
        <v>35</v>
      </c>
      <c r="K74" t="s">
        <v>68</v>
      </c>
      <c r="L74">
        <v>15000</v>
      </c>
    </row>
    <row r="75" spans="1:12" x14ac:dyDescent="0.3">
      <c r="A75" t="s">
        <v>175</v>
      </c>
      <c r="B75" t="s">
        <v>176</v>
      </c>
      <c r="C75" t="s">
        <v>38</v>
      </c>
      <c r="D75" t="s">
        <v>15</v>
      </c>
      <c r="E75" s="2">
        <v>46172</v>
      </c>
      <c r="F75" s="2">
        <v>46172</v>
      </c>
      <c r="G75" s="2">
        <v>46135</v>
      </c>
      <c r="H75">
        <v>12000</v>
      </c>
      <c r="I75" t="s">
        <v>16</v>
      </c>
      <c r="J75" t="s">
        <v>17</v>
      </c>
      <c r="K75" t="s">
        <v>31</v>
      </c>
      <c r="L75">
        <v>12000</v>
      </c>
    </row>
    <row r="76" spans="1:12" x14ac:dyDescent="0.3">
      <c r="A76" t="s">
        <v>177</v>
      </c>
      <c r="B76" t="s">
        <v>178</v>
      </c>
      <c r="C76" t="s">
        <v>38</v>
      </c>
      <c r="D76" t="s">
        <v>22</v>
      </c>
      <c r="E76" s="2">
        <v>46064</v>
      </c>
      <c r="F76" s="2">
        <v>46064</v>
      </c>
      <c r="G76" s="2">
        <v>46240</v>
      </c>
      <c r="H76">
        <v>12000</v>
      </c>
      <c r="I76" t="s">
        <v>16</v>
      </c>
      <c r="J76" t="s">
        <v>17</v>
      </c>
      <c r="K76" t="s">
        <v>31</v>
      </c>
      <c r="L76">
        <v>12000</v>
      </c>
    </row>
    <row r="77" spans="1:12" x14ac:dyDescent="0.3">
      <c r="A77" t="s">
        <v>179</v>
      </c>
      <c r="B77" t="s">
        <v>180</v>
      </c>
      <c r="C77" t="s">
        <v>29</v>
      </c>
      <c r="D77" t="s">
        <v>22</v>
      </c>
      <c r="E77" s="2">
        <v>46116</v>
      </c>
      <c r="F77" s="2">
        <v>46116</v>
      </c>
      <c r="G77" s="2">
        <v>46237</v>
      </c>
      <c r="H77">
        <v>15000</v>
      </c>
      <c r="I77" t="s">
        <v>16</v>
      </c>
      <c r="J77" t="s">
        <v>35</v>
      </c>
      <c r="K77" t="s">
        <v>68</v>
      </c>
      <c r="L77">
        <v>15000</v>
      </c>
    </row>
    <row r="78" spans="1:12" x14ac:dyDescent="0.3">
      <c r="A78" t="s">
        <v>181</v>
      </c>
      <c r="B78" t="s">
        <v>182</v>
      </c>
      <c r="C78" t="s">
        <v>21</v>
      </c>
      <c r="D78" t="s">
        <v>15</v>
      </c>
      <c r="E78" s="2">
        <v>46135</v>
      </c>
      <c r="F78" s="2">
        <v>46135</v>
      </c>
      <c r="G78" s="2">
        <v>46398</v>
      </c>
      <c r="H78">
        <v>12000</v>
      </c>
      <c r="I78" t="s">
        <v>16</v>
      </c>
      <c r="J78" t="s">
        <v>17</v>
      </c>
      <c r="K78" t="s">
        <v>31</v>
      </c>
      <c r="L78">
        <v>12000</v>
      </c>
    </row>
    <row r="79" spans="1:12" x14ac:dyDescent="0.3">
      <c r="A79" t="s">
        <v>183</v>
      </c>
      <c r="B79" t="s">
        <v>184</v>
      </c>
      <c r="C79" t="s">
        <v>21</v>
      </c>
      <c r="D79" t="s">
        <v>34</v>
      </c>
      <c r="E79" s="2">
        <v>45779</v>
      </c>
      <c r="F79" s="2">
        <v>45779</v>
      </c>
      <c r="G79" s="2">
        <v>46126</v>
      </c>
      <c r="H79">
        <v>15000</v>
      </c>
      <c r="I79" t="s">
        <v>16</v>
      </c>
      <c r="J79" t="s">
        <v>17</v>
      </c>
      <c r="K79" t="s">
        <v>18</v>
      </c>
      <c r="L79">
        <v>15000</v>
      </c>
    </row>
    <row r="80" spans="1:12" x14ac:dyDescent="0.3">
      <c r="A80" t="s">
        <v>185</v>
      </c>
      <c r="B80" t="s">
        <v>186</v>
      </c>
      <c r="C80" t="s">
        <v>21</v>
      </c>
      <c r="D80" t="s">
        <v>15</v>
      </c>
      <c r="E80" s="2">
        <v>45929</v>
      </c>
      <c r="F80" s="2">
        <v>45929</v>
      </c>
      <c r="G80" s="2">
        <v>46238</v>
      </c>
      <c r="H80">
        <v>12000</v>
      </c>
      <c r="I80" t="s">
        <v>16</v>
      </c>
      <c r="J80" t="s">
        <v>35</v>
      </c>
      <c r="K80" t="s">
        <v>26</v>
      </c>
      <c r="L80">
        <v>12000</v>
      </c>
    </row>
    <row r="81" spans="1:12" x14ac:dyDescent="0.3">
      <c r="A81" t="s">
        <v>187</v>
      </c>
      <c r="B81" t="s">
        <v>188</v>
      </c>
      <c r="C81" t="s">
        <v>14</v>
      </c>
      <c r="D81" t="s">
        <v>45</v>
      </c>
      <c r="E81" s="2">
        <v>45783</v>
      </c>
      <c r="F81" s="2">
        <v>45783</v>
      </c>
      <c r="G81" s="2">
        <v>46009</v>
      </c>
      <c r="H81">
        <v>12000</v>
      </c>
      <c r="I81" t="s">
        <v>23</v>
      </c>
      <c r="J81" t="s">
        <v>35</v>
      </c>
      <c r="K81" t="s">
        <v>26</v>
      </c>
      <c r="L81">
        <v>12000</v>
      </c>
    </row>
    <row r="82" spans="1:12" x14ac:dyDescent="0.3">
      <c r="A82" t="s">
        <v>189</v>
      </c>
      <c r="B82" t="s">
        <v>190</v>
      </c>
      <c r="C82" t="s">
        <v>21</v>
      </c>
      <c r="D82" t="s">
        <v>45</v>
      </c>
      <c r="E82" s="2">
        <v>45790</v>
      </c>
      <c r="F82" s="2">
        <v>45790</v>
      </c>
      <c r="G82" s="2">
        <v>46027</v>
      </c>
      <c r="H82">
        <v>10000</v>
      </c>
      <c r="I82" t="s">
        <v>23</v>
      </c>
      <c r="J82" t="s">
        <v>35</v>
      </c>
      <c r="K82" t="s">
        <v>68</v>
      </c>
      <c r="L82">
        <v>10000</v>
      </c>
    </row>
    <row r="83" spans="1:12" x14ac:dyDescent="0.3">
      <c r="A83" t="s">
        <v>191</v>
      </c>
      <c r="B83" t="s">
        <v>192</v>
      </c>
      <c r="C83" t="s">
        <v>38</v>
      </c>
      <c r="D83" t="s">
        <v>22</v>
      </c>
      <c r="E83" s="2">
        <v>45746</v>
      </c>
      <c r="F83" s="2">
        <v>45746</v>
      </c>
      <c r="G83" s="2">
        <v>45931</v>
      </c>
      <c r="H83">
        <v>12000</v>
      </c>
      <c r="I83" t="s">
        <v>23</v>
      </c>
      <c r="J83" t="s">
        <v>35</v>
      </c>
      <c r="K83" t="s">
        <v>26</v>
      </c>
      <c r="L83">
        <v>12000</v>
      </c>
    </row>
    <row r="84" spans="1:12" x14ac:dyDescent="0.3">
      <c r="A84" t="s">
        <v>193</v>
      </c>
      <c r="B84" t="s">
        <v>194</v>
      </c>
      <c r="C84" t="s">
        <v>38</v>
      </c>
      <c r="D84" t="s">
        <v>34</v>
      </c>
      <c r="E84" s="2">
        <v>46115</v>
      </c>
      <c r="F84" s="2">
        <v>46115</v>
      </c>
      <c r="G84" s="2">
        <v>46221</v>
      </c>
      <c r="H84">
        <v>15000</v>
      </c>
      <c r="I84" t="s">
        <v>23</v>
      </c>
      <c r="J84" t="s">
        <v>35</v>
      </c>
      <c r="K84" t="s">
        <v>68</v>
      </c>
      <c r="L84">
        <v>15000</v>
      </c>
    </row>
    <row r="85" spans="1:12" x14ac:dyDescent="0.3">
      <c r="A85" t="s">
        <v>195</v>
      </c>
      <c r="B85" t="s">
        <v>196</v>
      </c>
      <c r="C85" t="s">
        <v>29</v>
      </c>
      <c r="D85" t="s">
        <v>34</v>
      </c>
      <c r="E85" s="2">
        <v>46168</v>
      </c>
      <c r="F85" s="2">
        <v>45992</v>
      </c>
      <c r="G85" s="2">
        <v>46108</v>
      </c>
      <c r="H85">
        <v>18000</v>
      </c>
      <c r="I85" t="s">
        <v>16</v>
      </c>
      <c r="J85" t="s">
        <v>17</v>
      </c>
      <c r="K85" t="s">
        <v>31</v>
      </c>
      <c r="L85">
        <v>18000</v>
      </c>
    </row>
    <row r="86" spans="1:12" x14ac:dyDescent="0.3">
      <c r="A86" t="s">
        <v>197</v>
      </c>
      <c r="B86" t="s">
        <v>198</v>
      </c>
      <c r="C86" t="s">
        <v>21</v>
      </c>
      <c r="D86" t="s">
        <v>22</v>
      </c>
      <c r="E86" s="2">
        <v>45797</v>
      </c>
      <c r="F86" s="2">
        <v>45797</v>
      </c>
      <c r="G86" s="2">
        <v>46063</v>
      </c>
      <c r="H86">
        <v>12000</v>
      </c>
      <c r="I86" t="s">
        <v>16</v>
      </c>
      <c r="J86" t="s">
        <v>35</v>
      </c>
      <c r="K86" t="s">
        <v>68</v>
      </c>
      <c r="L86">
        <v>12000</v>
      </c>
    </row>
    <row r="87" spans="1:12" x14ac:dyDescent="0.3">
      <c r="A87" t="s">
        <v>199</v>
      </c>
      <c r="B87" t="s">
        <v>200</v>
      </c>
      <c r="C87" t="s">
        <v>29</v>
      </c>
      <c r="D87" t="s">
        <v>45</v>
      </c>
      <c r="E87" s="2">
        <v>45700</v>
      </c>
      <c r="F87" s="2">
        <v>45700</v>
      </c>
      <c r="G87" s="2">
        <v>46041</v>
      </c>
      <c r="H87">
        <v>18000</v>
      </c>
      <c r="I87" t="s">
        <v>16</v>
      </c>
      <c r="J87" t="s">
        <v>17</v>
      </c>
      <c r="K87" t="s">
        <v>31</v>
      </c>
      <c r="L87">
        <v>18000</v>
      </c>
    </row>
    <row r="88" spans="1:12" x14ac:dyDescent="0.3">
      <c r="A88" t="s">
        <v>201</v>
      </c>
      <c r="B88" t="s">
        <v>202</v>
      </c>
      <c r="C88" t="s">
        <v>29</v>
      </c>
      <c r="D88" t="s">
        <v>22</v>
      </c>
      <c r="E88" s="2">
        <v>45886</v>
      </c>
      <c r="F88" s="2">
        <v>45886</v>
      </c>
      <c r="G88" s="2">
        <v>45984</v>
      </c>
      <c r="H88">
        <v>10000</v>
      </c>
      <c r="I88" t="s">
        <v>23</v>
      </c>
      <c r="J88" t="s">
        <v>17</v>
      </c>
      <c r="K88" t="s">
        <v>68</v>
      </c>
      <c r="L88">
        <v>10000</v>
      </c>
    </row>
    <row r="89" spans="1:12" x14ac:dyDescent="0.3">
      <c r="A89" t="s">
        <v>203</v>
      </c>
      <c r="B89" t="s">
        <v>204</v>
      </c>
      <c r="C89" t="s">
        <v>14</v>
      </c>
      <c r="D89" t="s">
        <v>45</v>
      </c>
      <c r="E89" s="2">
        <v>46033</v>
      </c>
      <c r="F89" s="2">
        <v>46033</v>
      </c>
      <c r="G89" s="2">
        <v>46354</v>
      </c>
      <c r="H89">
        <v>10000</v>
      </c>
      <c r="I89" t="s">
        <v>23</v>
      </c>
      <c r="J89" t="s">
        <v>17</v>
      </c>
      <c r="K89" t="s">
        <v>18</v>
      </c>
      <c r="L89">
        <v>10000</v>
      </c>
    </row>
    <row r="90" spans="1:12" x14ac:dyDescent="0.3">
      <c r="A90" t="s">
        <v>205</v>
      </c>
      <c r="B90" t="s">
        <v>206</v>
      </c>
      <c r="C90" t="s">
        <v>21</v>
      </c>
      <c r="D90" t="s">
        <v>30</v>
      </c>
      <c r="E90" s="2">
        <v>45866</v>
      </c>
      <c r="F90" s="2">
        <v>45866</v>
      </c>
      <c r="G90" s="2">
        <v>46132</v>
      </c>
      <c r="H90">
        <v>18000</v>
      </c>
      <c r="I90" t="s">
        <v>16</v>
      </c>
      <c r="J90" t="s">
        <v>35</v>
      </c>
      <c r="K90" t="s">
        <v>18</v>
      </c>
      <c r="L90">
        <v>18000</v>
      </c>
    </row>
    <row r="91" spans="1:12" x14ac:dyDescent="0.3">
      <c r="A91" t="s">
        <v>207</v>
      </c>
      <c r="B91" t="s">
        <v>208</v>
      </c>
      <c r="C91" t="s">
        <v>29</v>
      </c>
      <c r="D91" t="s">
        <v>34</v>
      </c>
      <c r="E91" s="2">
        <v>45845</v>
      </c>
      <c r="F91" s="2">
        <v>45845</v>
      </c>
      <c r="G91" s="2">
        <v>46033</v>
      </c>
      <c r="H91">
        <v>8000</v>
      </c>
      <c r="I91" t="s">
        <v>16</v>
      </c>
      <c r="J91" t="s">
        <v>17</v>
      </c>
      <c r="K91" t="s">
        <v>18</v>
      </c>
      <c r="L91">
        <v>8000</v>
      </c>
    </row>
    <row r="92" spans="1:12" x14ac:dyDescent="0.3">
      <c r="A92" t="s">
        <v>209</v>
      </c>
      <c r="B92" t="s">
        <v>210</v>
      </c>
      <c r="C92" t="s">
        <v>38</v>
      </c>
      <c r="D92" t="s">
        <v>45</v>
      </c>
      <c r="E92" s="2">
        <v>45913</v>
      </c>
      <c r="F92" s="2">
        <v>45913</v>
      </c>
      <c r="G92" s="2">
        <v>46018</v>
      </c>
      <c r="H92">
        <v>12000</v>
      </c>
      <c r="I92" t="s">
        <v>23</v>
      </c>
      <c r="J92" t="s">
        <v>35</v>
      </c>
      <c r="K92" t="s">
        <v>18</v>
      </c>
      <c r="L92">
        <v>12000</v>
      </c>
    </row>
    <row r="93" spans="1:12" x14ac:dyDescent="0.3">
      <c r="A93" t="s">
        <v>211</v>
      </c>
      <c r="B93" t="s">
        <v>212</v>
      </c>
      <c r="C93" t="s">
        <v>14</v>
      </c>
      <c r="D93" t="s">
        <v>22</v>
      </c>
      <c r="E93" s="2">
        <v>46133</v>
      </c>
      <c r="F93" s="2">
        <v>46133</v>
      </c>
      <c r="G93" s="2">
        <v>46317</v>
      </c>
      <c r="H93">
        <v>18000</v>
      </c>
      <c r="I93" t="s">
        <v>23</v>
      </c>
      <c r="J93" t="s">
        <v>35</v>
      </c>
      <c r="K93" t="s">
        <v>31</v>
      </c>
      <c r="L93">
        <v>18000</v>
      </c>
    </row>
    <row r="94" spans="1:12" x14ac:dyDescent="0.3">
      <c r="A94" t="s">
        <v>213</v>
      </c>
      <c r="B94" t="s">
        <v>214</v>
      </c>
      <c r="C94" t="s">
        <v>38</v>
      </c>
      <c r="D94" t="s">
        <v>45</v>
      </c>
      <c r="E94" s="2">
        <v>45914</v>
      </c>
      <c r="F94" s="2">
        <v>45914</v>
      </c>
      <c r="G94" s="2">
        <v>46273</v>
      </c>
      <c r="H94">
        <v>10000</v>
      </c>
      <c r="I94" t="s">
        <v>16</v>
      </c>
      <c r="J94" t="s">
        <v>35</v>
      </c>
      <c r="K94" t="s">
        <v>31</v>
      </c>
      <c r="L94">
        <v>10000</v>
      </c>
    </row>
    <row r="95" spans="1:12" x14ac:dyDescent="0.3">
      <c r="A95" t="s">
        <v>215</v>
      </c>
      <c r="B95" t="s">
        <v>216</v>
      </c>
      <c r="C95" t="s">
        <v>14</v>
      </c>
      <c r="D95" t="s">
        <v>45</v>
      </c>
      <c r="E95" s="2">
        <v>45694</v>
      </c>
      <c r="F95" s="2">
        <v>45694</v>
      </c>
      <c r="G95" s="2">
        <v>45977</v>
      </c>
      <c r="H95">
        <v>15000</v>
      </c>
      <c r="I95" t="s">
        <v>23</v>
      </c>
      <c r="J95" t="s">
        <v>17</v>
      </c>
      <c r="K95" t="s">
        <v>68</v>
      </c>
      <c r="L95">
        <v>15000</v>
      </c>
    </row>
    <row r="96" spans="1:12" x14ac:dyDescent="0.3">
      <c r="A96" t="s">
        <v>217</v>
      </c>
      <c r="B96" t="s">
        <v>218</v>
      </c>
      <c r="C96" t="s">
        <v>29</v>
      </c>
      <c r="D96" t="s">
        <v>15</v>
      </c>
      <c r="E96" s="2">
        <v>46058</v>
      </c>
      <c r="F96" s="2">
        <v>46058</v>
      </c>
      <c r="G96" s="2">
        <v>46419</v>
      </c>
      <c r="H96">
        <v>18000</v>
      </c>
      <c r="I96" t="s">
        <v>23</v>
      </c>
      <c r="J96" t="s">
        <v>35</v>
      </c>
      <c r="K96" t="s">
        <v>18</v>
      </c>
      <c r="L96">
        <v>18000</v>
      </c>
    </row>
    <row r="97" spans="1:12" x14ac:dyDescent="0.3">
      <c r="A97" t="s">
        <v>219</v>
      </c>
      <c r="B97" t="s">
        <v>220</v>
      </c>
      <c r="C97" t="s">
        <v>29</v>
      </c>
      <c r="D97" t="s">
        <v>30</v>
      </c>
      <c r="E97" s="2">
        <v>45962</v>
      </c>
      <c r="F97" s="2">
        <v>45962</v>
      </c>
      <c r="G97" s="2">
        <v>46059</v>
      </c>
      <c r="H97">
        <v>10000</v>
      </c>
      <c r="I97" t="s">
        <v>16</v>
      </c>
      <c r="J97" t="s">
        <v>17</v>
      </c>
      <c r="K97" t="s">
        <v>68</v>
      </c>
      <c r="L97">
        <v>10000</v>
      </c>
    </row>
    <row r="98" spans="1:12" x14ac:dyDescent="0.3">
      <c r="A98" t="s">
        <v>221</v>
      </c>
      <c r="B98" t="s">
        <v>222</v>
      </c>
      <c r="C98" t="s">
        <v>29</v>
      </c>
      <c r="D98" t="s">
        <v>22</v>
      </c>
      <c r="E98" s="2">
        <v>46028</v>
      </c>
      <c r="F98" s="2">
        <v>46028</v>
      </c>
      <c r="G98" s="2">
        <v>46173</v>
      </c>
      <c r="H98">
        <v>18000</v>
      </c>
      <c r="I98" t="s">
        <v>16</v>
      </c>
      <c r="J98" t="s">
        <v>17</v>
      </c>
      <c r="K98" t="s">
        <v>68</v>
      </c>
      <c r="L98">
        <v>18000</v>
      </c>
    </row>
    <row r="99" spans="1:12" x14ac:dyDescent="0.3">
      <c r="A99" t="s">
        <v>223</v>
      </c>
      <c r="B99" t="s">
        <v>224</v>
      </c>
      <c r="C99" t="s">
        <v>14</v>
      </c>
      <c r="D99" t="s">
        <v>22</v>
      </c>
      <c r="E99" s="2">
        <v>45745</v>
      </c>
      <c r="F99" s="2">
        <v>45745</v>
      </c>
      <c r="G99" s="2">
        <v>45912</v>
      </c>
      <c r="H99">
        <v>12000</v>
      </c>
      <c r="I99" t="s">
        <v>16</v>
      </c>
      <c r="J99" t="s">
        <v>35</v>
      </c>
      <c r="K99" t="s">
        <v>31</v>
      </c>
      <c r="L99">
        <v>12000</v>
      </c>
    </row>
    <row r="100" spans="1:12" x14ac:dyDescent="0.3">
      <c r="A100" t="s">
        <v>225</v>
      </c>
      <c r="B100" t="s">
        <v>226</v>
      </c>
      <c r="C100" t="s">
        <v>14</v>
      </c>
      <c r="D100" t="s">
        <v>45</v>
      </c>
      <c r="E100" s="2">
        <v>45998</v>
      </c>
      <c r="F100" s="2">
        <v>45998</v>
      </c>
      <c r="G100" s="2">
        <v>46322</v>
      </c>
      <c r="H100">
        <v>12000</v>
      </c>
      <c r="I100" t="s">
        <v>23</v>
      </c>
      <c r="J100" t="s">
        <v>35</v>
      </c>
      <c r="K100" t="s">
        <v>26</v>
      </c>
      <c r="L100">
        <v>12000</v>
      </c>
    </row>
    <row r="101" spans="1:12" x14ac:dyDescent="0.3">
      <c r="A101" t="s">
        <v>227</v>
      </c>
      <c r="B101" t="s">
        <v>228</v>
      </c>
      <c r="C101" t="s">
        <v>21</v>
      </c>
      <c r="D101" t="s">
        <v>34</v>
      </c>
      <c r="E101" s="2">
        <v>46069</v>
      </c>
      <c r="F101" s="2">
        <v>46069</v>
      </c>
      <c r="G101" s="2">
        <v>46256</v>
      </c>
      <c r="H101">
        <v>15000</v>
      </c>
      <c r="I101" t="s">
        <v>23</v>
      </c>
      <c r="J101" t="s">
        <v>35</v>
      </c>
      <c r="K101" t="s">
        <v>26</v>
      </c>
      <c r="L101">
        <v>15000</v>
      </c>
    </row>
    <row r="102" spans="1:12" x14ac:dyDescent="0.3">
      <c r="A102" t="s">
        <v>229</v>
      </c>
      <c r="B102" t="s">
        <v>230</v>
      </c>
      <c r="C102" t="s">
        <v>38</v>
      </c>
      <c r="D102" t="s">
        <v>30</v>
      </c>
      <c r="E102" s="2">
        <v>46147</v>
      </c>
      <c r="F102" s="2">
        <v>45722</v>
      </c>
      <c r="G102" s="2">
        <v>45923</v>
      </c>
      <c r="H102">
        <v>15000</v>
      </c>
      <c r="I102" t="s">
        <v>23</v>
      </c>
      <c r="J102" t="s">
        <v>17</v>
      </c>
      <c r="K102" t="s">
        <v>68</v>
      </c>
      <c r="L102">
        <v>15000</v>
      </c>
    </row>
    <row r="103" spans="1:12" x14ac:dyDescent="0.3">
      <c r="A103" t="s">
        <v>231</v>
      </c>
      <c r="B103" t="s">
        <v>232</v>
      </c>
      <c r="C103" t="s">
        <v>38</v>
      </c>
      <c r="D103" t="s">
        <v>34</v>
      </c>
      <c r="E103" s="2">
        <v>45797</v>
      </c>
      <c r="F103" s="2">
        <v>45797</v>
      </c>
      <c r="G103" s="2">
        <v>46040</v>
      </c>
      <c r="H103">
        <v>12000</v>
      </c>
      <c r="I103" t="s">
        <v>16</v>
      </c>
      <c r="J103" t="s">
        <v>17</v>
      </c>
      <c r="K103" t="s">
        <v>26</v>
      </c>
      <c r="L103">
        <v>12000</v>
      </c>
    </row>
    <row r="104" spans="1:12" x14ac:dyDescent="0.3">
      <c r="A104" t="s">
        <v>233</v>
      </c>
      <c r="B104" t="s">
        <v>234</v>
      </c>
      <c r="C104" t="s">
        <v>38</v>
      </c>
      <c r="D104" t="s">
        <v>45</v>
      </c>
      <c r="E104" s="2">
        <v>45952</v>
      </c>
      <c r="F104" s="2">
        <v>45952</v>
      </c>
      <c r="G104" s="2">
        <v>46186</v>
      </c>
      <c r="H104">
        <v>12000</v>
      </c>
      <c r="I104" t="s">
        <v>23</v>
      </c>
      <c r="J104" t="s">
        <v>17</v>
      </c>
      <c r="K104" t="s">
        <v>18</v>
      </c>
      <c r="L104">
        <v>12000</v>
      </c>
    </row>
    <row r="105" spans="1:12" x14ac:dyDescent="0.3">
      <c r="A105" t="s">
        <v>235</v>
      </c>
      <c r="B105" t="s">
        <v>236</v>
      </c>
      <c r="C105" t="s">
        <v>29</v>
      </c>
      <c r="D105" t="s">
        <v>15</v>
      </c>
      <c r="E105" s="2">
        <v>46103</v>
      </c>
      <c r="F105" s="2">
        <v>46103</v>
      </c>
      <c r="G105" s="2">
        <v>46121</v>
      </c>
      <c r="H105">
        <v>15000</v>
      </c>
      <c r="I105" t="s">
        <v>16</v>
      </c>
      <c r="J105" t="s">
        <v>17</v>
      </c>
      <c r="K105" t="s">
        <v>31</v>
      </c>
      <c r="L105">
        <v>15000</v>
      </c>
    </row>
    <row r="106" spans="1:12" x14ac:dyDescent="0.3">
      <c r="A106" t="s">
        <v>237</v>
      </c>
      <c r="B106" t="s">
        <v>238</v>
      </c>
      <c r="C106" t="s">
        <v>21</v>
      </c>
      <c r="D106" t="s">
        <v>34</v>
      </c>
      <c r="E106" s="2">
        <v>45753</v>
      </c>
      <c r="F106" s="2">
        <v>45753</v>
      </c>
      <c r="G106" s="2">
        <v>46075</v>
      </c>
      <c r="H106">
        <v>10000</v>
      </c>
      <c r="I106" t="s">
        <v>23</v>
      </c>
      <c r="J106" t="s">
        <v>17</v>
      </c>
      <c r="K106" t="s">
        <v>68</v>
      </c>
      <c r="L106">
        <v>10000</v>
      </c>
    </row>
    <row r="107" spans="1:12" x14ac:dyDescent="0.3">
      <c r="A107" t="s">
        <v>239</v>
      </c>
      <c r="B107" t="s">
        <v>240</v>
      </c>
      <c r="C107" t="s">
        <v>14</v>
      </c>
      <c r="D107" t="s">
        <v>22</v>
      </c>
      <c r="E107" s="2">
        <v>45902</v>
      </c>
      <c r="F107" s="2">
        <v>45902</v>
      </c>
      <c r="G107" s="2">
        <v>46039</v>
      </c>
      <c r="H107">
        <v>12000</v>
      </c>
      <c r="I107" t="s">
        <v>23</v>
      </c>
      <c r="J107" t="s">
        <v>35</v>
      </c>
      <c r="K107" t="s">
        <v>18</v>
      </c>
      <c r="L107">
        <v>12000</v>
      </c>
    </row>
    <row r="108" spans="1:12" x14ac:dyDescent="0.3">
      <c r="A108" t="s">
        <v>241</v>
      </c>
      <c r="B108" t="s">
        <v>242</v>
      </c>
      <c r="C108" t="s">
        <v>38</v>
      </c>
      <c r="D108" t="s">
        <v>45</v>
      </c>
      <c r="E108" s="2">
        <v>45937</v>
      </c>
      <c r="F108" s="2">
        <v>45937</v>
      </c>
      <c r="G108" s="2">
        <v>46273</v>
      </c>
      <c r="H108">
        <v>18000</v>
      </c>
      <c r="I108" t="s">
        <v>23</v>
      </c>
      <c r="J108" t="s">
        <v>35</v>
      </c>
      <c r="K108" t="s">
        <v>18</v>
      </c>
      <c r="L108">
        <v>18000</v>
      </c>
    </row>
    <row r="109" spans="1:12" x14ac:dyDescent="0.3">
      <c r="A109" t="s">
        <v>243</v>
      </c>
      <c r="B109" t="s">
        <v>244</v>
      </c>
      <c r="C109" t="s">
        <v>14</v>
      </c>
      <c r="D109" t="s">
        <v>22</v>
      </c>
      <c r="E109" s="2">
        <v>46068</v>
      </c>
      <c r="F109" s="2">
        <v>46068</v>
      </c>
      <c r="G109" s="2">
        <v>46185</v>
      </c>
      <c r="H109">
        <v>10000</v>
      </c>
      <c r="I109" t="s">
        <v>16</v>
      </c>
      <c r="J109" t="s">
        <v>17</v>
      </c>
      <c r="K109" t="s">
        <v>26</v>
      </c>
      <c r="L109">
        <v>10000</v>
      </c>
    </row>
    <row r="110" spans="1:12" x14ac:dyDescent="0.3">
      <c r="A110" t="s">
        <v>245</v>
      </c>
      <c r="B110" t="s">
        <v>246</v>
      </c>
      <c r="C110" t="s">
        <v>14</v>
      </c>
      <c r="D110" t="s">
        <v>34</v>
      </c>
      <c r="E110" s="2">
        <v>45788</v>
      </c>
      <c r="F110" s="2">
        <v>45788</v>
      </c>
      <c r="G110" s="2">
        <v>45975</v>
      </c>
      <c r="H110">
        <v>8000</v>
      </c>
      <c r="I110" t="s">
        <v>16</v>
      </c>
      <c r="J110" t="s">
        <v>17</v>
      </c>
      <c r="K110" t="s">
        <v>68</v>
      </c>
      <c r="L110">
        <v>8000</v>
      </c>
    </row>
    <row r="111" spans="1:12" x14ac:dyDescent="0.3">
      <c r="A111" t="s">
        <v>247</v>
      </c>
      <c r="B111" t="s">
        <v>248</v>
      </c>
      <c r="C111" t="s">
        <v>29</v>
      </c>
      <c r="D111" t="s">
        <v>45</v>
      </c>
      <c r="E111" s="2">
        <v>45992</v>
      </c>
      <c r="F111" s="2">
        <v>45992</v>
      </c>
      <c r="G111" s="2">
        <v>46173</v>
      </c>
      <c r="H111">
        <v>15000</v>
      </c>
      <c r="I111" t="s">
        <v>16</v>
      </c>
      <c r="J111" t="s">
        <v>17</v>
      </c>
      <c r="K111" t="s">
        <v>18</v>
      </c>
      <c r="L111">
        <v>15000</v>
      </c>
    </row>
    <row r="112" spans="1:12" x14ac:dyDescent="0.3">
      <c r="A112" t="s">
        <v>249</v>
      </c>
      <c r="B112" t="s">
        <v>250</v>
      </c>
      <c r="C112" t="s">
        <v>14</v>
      </c>
      <c r="D112" t="s">
        <v>34</v>
      </c>
      <c r="E112" s="2">
        <v>46097</v>
      </c>
      <c r="F112" s="2">
        <v>46097</v>
      </c>
      <c r="G112" s="2">
        <v>46211</v>
      </c>
      <c r="H112">
        <v>8000</v>
      </c>
      <c r="I112" t="s">
        <v>23</v>
      </c>
      <c r="J112" t="s">
        <v>17</v>
      </c>
      <c r="K112" t="s">
        <v>31</v>
      </c>
      <c r="L112">
        <v>8000</v>
      </c>
    </row>
    <row r="113" spans="1:12" x14ac:dyDescent="0.3">
      <c r="A113" t="s">
        <v>251</v>
      </c>
      <c r="B113" t="s">
        <v>252</v>
      </c>
      <c r="C113" t="s">
        <v>21</v>
      </c>
      <c r="D113" t="s">
        <v>30</v>
      </c>
      <c r="E113" s="2">
        <v>45948</v>
      </c>
      <c r="F113" s="2">
        <v>45948</v>
      </c>
      <c r="G113" s="2">
        <v>46155</v>
      </c>
      <c r="H113">
        <v>8000</v>
      </c>
      <c r="I113" t="s">
        <v>23</v>
      </c>
      <c r="J113" t="s">
        <v>17</v>
      </c>
      <c r="K113" t="s">
        <v>68</v>
      </c>
      <c r="L113">
        <v>8000</v>
      </c>
    </row>
    <row r="114" spans="1:12" x14ac:dyDescent="0.3">
      <c r="A114" t="s">
        <v>253</v>
      </c>
      <c r="B114" t="s">
        <v>254</v>
      </c>
      <c r="C114" t="s">
        <v>21</v>
      </c>
      <c r="D114" t="s">
        <v>45</v>
      </c>
      <c r="E114" s="2">
        <v>45887</v>
      </c>
      <c r="F114" s="2">
        <v>45887</v>
      </c>
      <c r="G114" s="2">
        <v>46230</v>
      </c>
      <c r="H114">
        <v>15000</v>
      </c>
      <c r="I114" t="s">
        <v>16</v>
      </c>
      <c r="J114" t="s">
        <v>35</v>
      </c>
      <c r="K114" t="s">
        <v>68</v>
      </c>
      <c r="L114">
        <v>15000</v>
      </c>
    </row>
    <row r="115" spans="1:12" x14ac:dyDescent="0.3">
      <c r="A115" t="s">
        <v>255</v>
      </c>
      <c r="B115" t="s">
        <v>256</v>
      </c>
      <c r="C115" t="s">
        <v>29</v>
      </c>
      <c r="D115" t="s">
        <v>45</v>
      </c>
      <c r="E115" s="2">
        <v>45795</v>
      </c>
      <c r="F115" s="2">
        <v>45795</v>
      </c>
      <c r="G115" s="2">
        <v>46021</v>
      </c>
      <c r="I115" t="s">
        <v>16</v>
      </c>
      <c r="J115" t="s">
        <v>35</v>
      </c>
      <c r="K115" t="s">
        <v>26</v>
      </c>
    </row>
    <row r="116" spans="1:12" x14ac:dyDescent="0.3">
      <c r="A116" t="s">
        <v>257</v>
      </c>
      <c r="B116" t="s">
        <v>258</v>
      </c>
      <c r="C116" t="s">
        <v>38</v>
      </c>
      <c r="D116" t="s">
        <v>15</v>
      </c>
      <c r="E116" s="2">
        <v>46095</v>
      </c>
      <c r="F116" s="2">
        <v>46095</v>
      </c>
      <c r="G116" s="2">
        <v>46408</v>
      </c>
      <c r="H116">
        <v>12000</v>
      </c>
      <c r="I116" t="s">
        <v>16</v>
      </c>
      <c r="J116" t="s">
        <v>35</v>
      </c>
      <c r="K116" t="s">
        <v>68</v>
      </c>
      <c r="L116">
        <v>12000</v>
      </c>
    </row>
    <row r="117" spans="1:12" x14ac:dyDescent="0.3">
      <c r="A117" t="s">
        <v>259</v>
      </c>
      <c r="B117" t="s">
        <v>260</v>
      </c>
      <c r="C117" t="s">
        <v>38</v>
      </c>
      <c r="D117" t="s">
        <v>34</v>
      </c>
      <c r="E117" s="2">
        <v>45988</v>
      </c>
      <c r="F117" s="2">
        <v>45988</v>
      </c>
      <c r="G117" s="2">
        <v>46183</v>
      </c>
      <c r="H117">
        <v>8000</v>
      </c>
      <c r="I117" t="s">
        <v>23</v>
      </c>
      <c r="J117" t="s">
        <v>35</v>
      </c>
      <c r="K117" t="s">
        <v>31</v>
      </c>
      <c r="L117">
        <v>8000</v>
      </c>
    </row>
    <row r="118" spans="1:12" x14ac:dyDescent="0.3">
      <c r="A118" t="s">
        <v>261</v>
      </c>
      <c r="B118" t="s">
        <v>262</v>
      </c>
      <c r="C118" t="s">
        <v>21</v>
      </c>
      <c r="D118" t="s">
        <v>30</v>
      </c>
      <c r="E118" s="2">
        <v>45927</v>
      </c>
      <c r="F118" s="2">
        <v>45927</v>
      </c>
      <c r="G118" s="2">
        <v>46177</v>
      </c>
      <c r="H118">
        <v>12000</v>
      </c>
      <c r="I118" t="s">
        <v>16</v>
      </c>
      <c r="J118" t="s">
        <v>17</v>
      </c>
      <c r="K118" t="s">
        <v>68</v>
      </c>
      <c r="L118">
        <v>12000</v>
      </c>
    </row>
    <row r="119" spans="1:12" x14ac:dyDescent="0.3">
      <c r="A119" t="s">
        <v>263</v>
      </c>
      <c r="B119" t="s">
        <v>264</v>
      </c>
      <c r="C119" t="s">
        <v>38</v>
      </c>
      <c r="D119" t="s">
        <v>22</v>
      </c>
      <c r="E119" s="2">
        <v>46166</v>
      </c>
      <c r="F119" s="2">
        <v>46082</v>
      </c>
      <c r="G119" s="2">
        <v>46439</v>
      </c>
      <c r="H119">
        <v>10000</v>
      </c>
      <c r="I119" t="s">
        <v>16</v>
      </c>
      <c r="J119" t="s">
        <v>17</v>
      </c>
      <c r="K119" t="s">
        <v>68</v>
      </c>
      <c r="L119">
        <v>10000</v>
      </c>
    </row>
    <row r="120" spans="1:12" x14ac:dyDescent="0.3">
      <c r="A120" t="s">
        <v>265</v>
      </c>
      <c r="B120" t="s">
        <v>266</v>
      </c>
      <c r="C120" t="s">
        <v>29</v>
      </c>
      <c r="D120" t="s">
        <v>45</v>
      </c>
      <c r="E120" s="2">
        <v>45894</v>
      </c>
      <c r="F120" s="2">
        <v>45894</v>
      </c>
      <c r="G120" s="2">
        <v>46156</v>
      </c>
      <c r="H120">
        <v>8000</v>
      </c>
      <c r="I120" t="s">
        <v>16</v>
      </c>
      <c r="J120" t="s">
        <v>17</v>
      </c>
      <c r="K120" t="s">
        <v>26</v>
      </c>
      <c r="L120">
        <v>8000</v>
      </c>
    </row>
    <row r="121" spans="1:12" x14ac:dyDescent="0.3">
      <c r="A121" t="s">
        <v>267</v>
      </c>
      <c r="B121" t="s">
        <v>268</v>
      </c>
      <c r="C121" t="s">
        <v>21</v>
      </c>
      <c r="D121" t="s">
        <v>22</v>
      </c>
      <c r="E121" s="2">
        <v>45874</v>
      </c>
      <c r="F121" s="2">
        <v>45874</v>
      </c>
      <c r="G121" s="2">
        <v>46206</v>
      </c>
      <c r="H121">
        <v>10000</v>
      </c>
      <c r="I121" t="s">
        <v>16</v>
      </c>
      <c r="J121" t="s">
        <v>17</v>
      </c>
      <c r="K121" t="s">
        <v>18</v>
      </c>
      <c r="L121">
        <v>10000</v>
      </c>
    </row>
    <row r="122" spans="1:12" x14ac:dyDescent="0.3">
      <c r="A122" t="s">
        <v>269</v>
      </c>
      <c r="B122" t="s">
        <v>270</v>
      </c>
      <c r="C122" t="s">
        <v>14</v>
      </c>
      <c r="D122" t="s">
        <v>15</v>
      </c>
      <c r="E122" s="2">
        <v>45958</v>
      </c>
      <c r="F122" s="2">
        <v>45958</v>
      </c>
      <c r="G122" s="2">
        <v>46069</v>
      </c>
      <c r="H122">
        <v>8000</v>
      </c>
      <c r="I122" t="s">
        <v>16</v>
      </c>
      <c r="J122" t="s">
        <v>17</v>
      </c>
      <c r="K122" t="s">
        <v>68</v>
      </c>
      <c r="L122">
        <v>8000</v>
      </c>
    </row>
    <row r="123" spans="1:12" x14ac:dyDescent="0.3">
      <c r="A123" t="s">
        <v>271</v>
      </c>
      <c r="B123" t="s">
        <v>272</v>
      </c>
      <c r="C123" t="s">
        <v>38</v>
      </c>
      <c r="D123" t="s">
        <v>34</v>
      </c>
      <c r="E123" s="2">
        <v>45794</v>
      </c>
      <c r="F123" s="2">
        <v>45794</v>
      </c>
      <c r="G123" s="2">
        <v>46156</v>
      </c>
      <c r="H123">
        <v>12000</v>
      </c>
      <c r="I123" t="s">
        <v>16</v>
      </c>
      <c r="J123" t="s">
        <v>35</v>
      </c>
      <c r="K123" t="s">
        <v>68</v>
      </c>
      <c r="L123">
        <v>12000</v>
      </c>
    </row>
    <row r="124" spans="1:12" x14ac:dyDescent="0.3">
      <c r="A124" t="s">
        <v>273</v>
      </c>
      <c r="B124" t="s">
        <v>274</v>
      </c>
      <c r="C124" t="s">
        <v>38</v>
      </c>
      <c r="D124" t="s">
        <v>15</v>
      </c>
      <c r="E124" s="2">
        <v>45894</v>
      </c>
      <c r="F124" s="2">
        <v>45894</v>
      </c>
      <c r="G124" s="2">
        <v>46257</v>
      </c>
      <c r="H124">
        <v>10000</v>
      </c>
      <c r="I124" t="s">
        <v>16</v>
      </c>
      <c r="J124" t="s">
        <v>35</v>
      </c>
      <c r="K124" t="s">
        <v>26</v>
      </c>
      <c r="L124">
        <v>10000</v>
      </c>
    </row>
    <row r="125" spans="1:12" x14ac:dyDescent="0.3">
      <c r="A125" t="s">
        <v>275</v>
      </c>
      <c r="B125" t="s">
        <v>276</v>
      </c>
      <c r="C125" t="s">
        <v>29</v>
      </c>
      <c r="D125" t="s">
        <v>15</v>
      </c>
      <c r="E125" s="2">
        <v>45795</v>
      </c>
      <c r="F125" s="2">
        <v>45795</v>
      </c>
      <c r="G125" s="2">
        <v>46058</v>
      </c>
      <c r="H125">
        <v>12000</v>
      </c>
      <c r="I125" t="s">
        <v>23</v>
      </c>
      <c r="J125" t="s">
        <v>17</v>
      </c>
      <c r="K125" t="s">
        <v>26</v>
      </c>
      <c r="L125">
        <v>12000</v>
      </c>
    </row>
    <row r="126" spans="1:12" x14ac:dyDescent="0.3">
      <c r="A126" t="s">
        <v>277</v>
      </c>
      <c r="B126" t="s">
        <v>278</v>
      </c>
      <c r="C126" t="s">
        <v>14</v>
      </c>
      <c r="D126" t="s">
        <v>30</v>
      </c>
      <c r="E126" s="2">
        <v>45906</v>
      </c>
      <c r="F126" s="2">
        <v>45906</v>
      </c>
      <c r="G126" s="2">
        <v>46155</v>
      </c>
      <c r="H126">
        <v>15000</v>
      </c>
      <c r="I126" t="s">
        <v>23</v>
      </c>
      <c r="J126" t="s">
        <v>17</v>
      </c>
      <c r="K126" t="s">
        <v>18</v>
      </c>
      <c r="L126">
        <v>15000</v>
      </c>
    </row>
    <row r="127" spans="1:12" x14ac:dyDescent="0.3">
      <c r="A127" t="s">
        <v>279</v>
      </c>
      <c r="B127" t="s">
        <v>280</v>
      </c>
      <c r="C127" t="s">
        <v>29</v>
      </c>
      <c r="D127" t="s">
        <v>30</v>
      </c>
      <c r="E127" s="2">
        <v>45927</v>
      </c>
      <c r="F127" s="2">
        <v>45927</v>
      </c>
      <c r="G127" s="2">
        <v>46239</v>
      </c>
      <c r="H127">
        <v>18000</v>
      </c>
      <c r="I127" t="s">
        <v>16</v>
      </c>
      <c r="J127" t="s">
        <v>35</v>
      </c>
      <c r="K127" t="s">
        <v>26</v>
      </c>
      <c r="L127">
        <v>18000</v>
      </c>
    </row>
    <row r="128" spans="1:12" x14ac:dyDescent="0.3">
      <c r="A128" t="s">
        <v>281</v>
      </c>
      <c r="B128" t="s">
        <v>282</v>
      </c>
      <c r="C128" t="s">
        <v>38</v>
      </c>
      <c r="D128" t="s">
        <v>30</v>
      </c>
      <c r="E128" s="2">
        <v>46171</v>
      </c>
      <c r="F128" s="2">
        <v>46171</v>
      </c>
      <c r="G128" s="2">
        <v>46312</v>
      </c>
      <c r="H128">
        <v>12000</v>
      </c>
      <c r="I128" t="s">
        <v>23</v>
      </c>
      <c r="J128" t="s">
        <v>17</v>
      </c>
      <c r="K128" t="s">
        <v>31</v>
      </c>
      <c r="L128">
        <v>12000</v>
      </c>
    </row>
    <row r="129" spans="1:12" x14ac:dyDescent="0.3">
      <c r="A129" t="s">
        <v>283</v>
      </c>
      <c r="B129" t="s">
        <v>284</v>
      </c>
      <c r="C129" t="s">
        <v>38</v>
      </c>
      <c r="D129" t="s">
        <v>30</v>
      </c>
      <c r="E129" s="2">
        <v>45798</v>
      </c>
      <c r="F129" s="2">
        <v>45798</v>
      </c>
      <c r="G129" s="2">
        <v>46133</v>
      </c>
      <c r="H129">
        <v>8000</v>
      </c>
      <c r="I129" t="s">
        <v>23</v>
      </c>
      <c r="J129" t="s">
        <v>35</v>
      </c>
      <c r="K129" t="s">
        <v>31</v>
      </c>
      <c r="L129">
        <v>8000</v>
      </c>
    </row>
    <row r="130" spans="1:12" x14ac:dyDescent="0.3">
      <c r="A130" t="s">
        <v>285</v>
      </c>
      <c r="B130" t="s">
        <v>286</v>
      </c>
      <c r="C130" t="s">
        <v>29</v>
      </c>
      <c r="D130" t="s">
        <v>34</v>
      </c>
      <c r="E130" s="2">
        <v>46077</v>
      </c>
      <c r="F130" s="2">
        <v>46077</v>
      </c>
      <c r="G130" s="2">
        <v>46208</v>
      </c>
      <c r="H130">
        <v>12000</v>
      </c>
      <c r="I130" t="s">
        <v>23</v>
      </c>
      <c r="J130" t="s">
        <v>35</v>
      </c>
      <c r="K130" t="s">
        <v>31</v>
      </c>
      <c r="L130">
        <v>12000</v>
      </c>
    </row>
    <row r="131" spans="1:12" x14ac:dyDescent="0.3">
      <c r="A131" t="s">
        <v>287</v>
      </c>
      <c r="B131" t="s">
        <v>288</v>
      </c>
      <c r="C131" t="s">
        <v>14</v>
      </c>
      <c r="D131" t="s">
        <v>30</v>
      </c>
      <c r="E131" s="2">
        <v>45812</v>
      </c>
      <c r="F131" s="2">
        <v>45812</v>
      </c>
      <c r="G131" s="2">
        <v>46105</v>
      </c>
      <c r="H131">
        <v>12000</v>
      </c>
      <c r="I131" t="s">
        <v>16</v>
      </c>
      <c r="J131" t="s">
        <v>17</v>
      </c>
      <c r="K131" t="s">
        <v>68</v>
      </c>
      <c r="L131">
        <v>12000</v>
      </c>
    </row>
    <row r="132" spans="1:12" x14ac:dyDescent="0.3">
      <c r="A132" t="s">
        <v>289</v>
      </c>
      <c r="B132" t="s">
        <v>290</v>
      </c>
      <c r="C132" t="s">
        <v>14</v>
      </c>
      <c r="D132" t="s">
        <v>22</v>
      </c>
      <c r="E132" s="2">
        <v>45747</v>
      </c>
      <c r="F132" s="2">
        <v>45747</v>
      </c>
      <c r="G132" s="2">
        <v>46053</v>
      </c>
      <c r="H132">
        <v>10000</v>
      </c>
      <c r="I132" t="s">
        <v>16</v>
      </c>
      <c r="J132" t="s">
        <v>17</v>
      </c>
      <c r="K132" t="s">
        <v>26</v>
      </c>
      <c r="L132">
        <v>10000</v>
      </c>
    </row>
    <row r="133" spans="1:12" x14ac:dyDescent="0.3">
      <c r="A133" t="s">
        <v>291</v>
      </c>
      <c r="B133" t="s">
        <v>292</v>
      </c>
      <c r="C133" t="s">
        <v>14</v>
      </c>
      <c r="D133" t="s">
        <v>15</v>
      </c>
      <c r="E133" s="2">
        <v>45896</v>
      </c>
      <c r="F133" s="2">
        <v>45896</v>
      </c>
      <c r="G133" s="2">
        <v>46122</v>
      </c>
      <c r="H133">
        <v>18000</v>
      </c>
      <c r="I133" t="s">
        <v>23</v>
      </c>
      <c r="J133" t="s">
        <v>17</v>
      </c>
      <c r="K133" t="s">
        <v>18</v>
      </c>
      <c r="L133">
        <v>18000</v>
      </c>
    </row>
    <row r="134" spans="1:12" x14ac:dyDescent="0.3">
      <c r="A134" t="s">
        <v>293</v>
      </c>
      <c r="B134" t="s">
        <v>294</v>
      </c>
      <c r="C134" t="s">
        <v>38</v>
      </c>
      <c r="D134" t="s">
        <v>45</v>
      </c>
      <c r="E134" s="2">
        <v>45752</v>
      </c>
      <c r="F134" s="2">
        <v>45752</v>
      </c>
      <c r="G134" s="2">
        <v>46091</v>
      </c>
      <c r="H134">
        <v>12000</v>
      </c>
      <c r="I134" t="s">
        <v>16</v>
      </c>
      <c r="J134" t="s">
        <v>17</v>
      </c>
      <c r="K134" t="s">
        <v>31</v>
      </c>
      <c r="L134">
        <v>12000</v>
      </c>
    </row>
    <row r="135" spans="1:12" x14ac:dyDescent="0.3">
      <c r="A135" t="s">
        <v>295</v>
      </c>
      <c r="B135" t="s">
        <v>296</v>
      </c>
      <c r="C135" t="s">
        <v>14</v>
      </c>
      <c r="D135" t="s">
        <v>15</v>
      </c>
      <c r="E135" s="2">
        <v>46134</v>
      </c>
      <c r="F135" s="2">
        <v>46134</v>
      </c>
      <c r="G135" s="2">
        <v>46120</v>
      </c>
      <c r="H135">
        <v>12000</v>
      </c>
      <c r="I135" t="s">
        <v>16</v>
      </c>
      <c r="J135" t="s">
        <v>35</v>
      </c>
      <c r="K135" t="s">
        <v>18</v>
      </c>
      <c r="L135">
        <v>12000</v>
      </c>
    </row>
    <row r="136" spans="1:12" x14ac:dyDescent="0.3">
      <c r="A136" t="s">
        <v>297</v>
      </c>
      <c r="B136" t="s">
        <v>298</v>
      </c>
      <c r="C136" t="s">
        <v>14</v>
      </c>
      <c r="D136" t="s">
        <v>34</v>
      </c>
      <c r="E136" s="2">
        <v>46148</v>
      </c>
      <c r="F136" s="2">
        <v>46037</v>
      </c>
      <c r="G136" s="2">
        <v>46343</v>
      </c>
      <c r="H136">
        <v>8000</v>
      </c>
      <c r="I136" t="s">
        <v>23</v>
      </c>
      <c r="J136" t="s">
        <v>17</v>
      </c>
      <c r="K136" t="s">
        <v>68</v>
      </c>
      <c r="L136">
        <v>8000</v>
      </c>
    </row>
    <row r="137" spans="1:12" x14ac:dyDescent="0.3">
      <c r="A137" t="s">
        <v>299</v>
      </c>
      <c r="B137" t="s">
        <v>300</v>
      </c>
      <c r="C137" t="s">
        <v>14</v>
      </c>
      <c r="D137" t="s">
        <v>45</v>
      </c>
      <c r="E137" s="2">
        <v>45948</v>
      </c>
      <c r="F137" s="2">
        <v>45948</v>
      </c>
      <c r="G137" s="2">
        <v>46159</v>
      </c>
      <c r="H137">
        <v>12000</v>
      </c>
      <c r="I137" t="s">
        <v>16</v>
      </c>
      <c r="J137" t="s">
        <v>17</v>
      </c>
      <c r="K137" t="s">
        <v>18</v>
      </c>
      <c r="L137">
        <v>12000</v>
      </c>
    </row>
    <row r="138" spans="1:12" x14ac:dyDescent="0.3">
      <c r="A138" t="s">
        <v>301</v>
      </c>
      <c r="B138" t="s">
        <v>302</v>
      </c>
      <c r="C138" t="s">
        <v>21</v>
      </c>
      <c r="D138" t="s">
        <v>15</v>
      </c>
      <c r="E138" s="2">
        <v>45889</v>
      </c>
      <c r="F138" s="2">
        <v>45889</v>
      </c>
      <c r="G138" s="2">
        <v>46022</v>
      </c>
      <c r="H138">
        <v>8000</v>
      </c>
      <c r="I138" t="s">
        <v>16</v>
      </c>
      <c r="J138" t="s">
        <v>17</v>
      </c>
      <c r="K138" t="s">
        <v>26</v>
      </c>
      <c r="L138">
        <v>8000</v>
      </c>
    </row>
    <row r="139" spans="1:12" x14ac:dyDescent="0.3">
      <c r="A139" t="s">
        <v>303</v>
      </c>
      <c r="B139" t="s">
        <v>304</v>
      </c>
      <c r="C139" t="s">
        <v>29</v>
      </c>
      <c r="D139" t="s">
        <v>30</v>
      </c>
      <c r="E139" s="2">
        <v>46073</v>
      </c>
      <c r="F139" s="2">
        <v>46073</v>
      </c>
      <c r="G139" s="2">
        <v>46424</v>
      </c>
      <c r="H139">
        <v>18000</v>
      </c>
      <c r="I139" t="s">
        <v>16</v>
      </c>
      <c r="J139" t="s">
        <v>35</v>
      </c>
      <c r="K139" t="s">
        <v>31</v>
      </c>
      <c r="L139">
        <v>18000</v>
      </c>
    </row>
    <row r="140" spans="1:12" x14ac:dyDescent="0.3">
      <c r="A140" t="s">
        <v>305</v>
      </c>
      <c r="B140" t="s">
        <v>306</v>
      </c>
      <c r="C140" t="s">
        <v>29</v>
      </c>
      <c r="D140" t="s">
        <v>22</v>
      </c>
      <c r="E140" s="2">
        <v>45811</v>
      </c>
      <c r="F140" s="2">
        <v>45811</v>
      </c>
      <c r="G140" s="2">
        <v>45997</v>
      </c>
      <c r="H140">
        <v>8000</v>
      </c>
      <c r="I140" t="s">
        <v>16</v>
      </c>
      <c r="J140" t="s">
        <v>17</v>
      </c>
      <c r="K140" t="s">
        <v>26</v>
      </c>
      <c r="L140">
        <v>8000</v>
      </c>
    </row>
    <row r="141" spans="1:12" x14ac:dyDescent="0.3">
      <c r="A141" t="s">
        <v>307</v>
      </c>
      <c r="B141" t="s">
        <v>308</v>
      </c>
      <c r="C141" t="s">
        <v>29</v>
      </c>
      <c r="D141" t="s">
        <v>45</v>
      </c>
      <c r="E141" s="2">
        <v>45913</v>
      </c>
      <c r="F141" s="2">
        <v>45913</v>
      </c>
      <c r="G141" s="2">
        <v>46277</v>
      </c>
      <c r="H141">
        <v>12000</v>
      </c>
      <c r="I141" t="s">
        <v>16</v>
      </c>
      <c r="J141" t="s">
        <v>17</v>
      </c>
      <c r="K141" t="s">
        <v>18</v>
      </c>
      <c r="L141">
        <v>12000</v>
      </c>
    </row>
    <row r="142" spans="1:12" x14ac:dyDescent="0.3">
      <c r="A142" t="s">
        <v>309</v>
      </c>
      <c r="B142" t="s">
        <v>310</v>
      </c>
      <c r="C142" t="s">
        <v>14</v>
      </c>
      <c r="D142" t="s">
        <v>34</v>
      </c>
      <c r="E142" s="2">
        <v>46072</v>
      </c>
      <c r="F142" s="2">
        <v>46072</v>
      </c>
      <c r="G142" s="2">
        <v>46167</v>
      </c>
      <c r="H142">
        <v>15000</v>
      </c>
      <c r="I142" t="s">
        <v>16</v>
      </c>
      <c r="J142" t="s">
        <v>35</v>
      </c>
      <c r="K142" t="s">
        <v>68</v>
      </c>
      <c r="L142">
        <v>15000</v>
      </c>
    </row>
    <row r="143" spans="1:12" x14ac:dyDescent="0.3">
      <c r="A143" t="s">
        <v>311</v>
      </c>
      <c r="B143" t="s">
        <v>312</v>
      </c>
      <c r="C143" t="s">
        <v>38</v>
      </c>
      <c r="D143" t="s">
        <v>34</v>
      </c>
      <c r="E143" s="2">
        <v>46039</v>
      </c>
      <c r="F143" s="2">
        <v>46039</v>
      </c>
      <c r="G143" s="2">
        <v>46174</v>
      </c>
      <c r="H143">
        <v>12000</v>
      </c>
      <c r="I143" t="s">
        <v>23</v>
      </c>
      <c r="J143" t="s">
        <v>35</v>
      </c>
      <c r="K143" t="s">
        <v>31</v>
      </c>
      <c r="L143">
        <v>12000</v>
      </c>
    </row>
    <row r="144" spans="1:12" x14ac:dyDescent="0.3">
      <c r="A144" t="s">
        <v>313</v>
      </c>
      <c r="B144" t="s">
        <v>314</v>
      </c>
      <c r="C144" t="s">
        <v>29</v>
      </c>
      <c r="D144" t="s">
        <v>30</v>
      </c>
      <c r="E144" s="2">
        <v>46119</v>
      </c>
      <c r="F144" s="2">
        <v>46119</v>
      </c>
      <c r="G144" s="2">
        <v>46419</v>
      </c>
      <c r="H144">
        <v>8000</v>
      </c>
      <c r="I144" t="s">
        <v>23</v>
      </c>
      <c r="J144" t="s">
        <v>35</v>
      </c>
      <c r="K144" t="s">
        <v>18</v>
      </c>
      <c r="L144">
        <v>8000</v>
      </c>
    </row>
    <row r="145" spans="1:12" x14ac:dyDescent="0.3">
      <c r="A145" t="s">
        <v>315</v>
      </c>
      <c r="B145" t="s">
        <v>316</v>
      </c>
      <c r="C145" t="s">
        <v>14</v>
      </c>
      <c r="D145" t="s">
        <v>15</v>
      </c>
      <c r="E145" s="2">
        <v>45878</v>
      </c>
      <c r="F145" s="2">
        <v>45878</v>
      </c>
      <c r="G145" s="2">
        <v>46036</v>
      </c>
      <c r="H145">
        <v>18000</v>
      </c>
      <c r="I145" t="s">
        <v>16</v>
      </c>
      <c r="J145" t="s">
        <v>17</v>
      </c>
      <c r="K145" t="s">
        <v>31</v>
      </c>
      <c r="L145">
        <v>18000</v>
      </c>
    </row>
    <row r="146" spans="1:12" x14ac:dyDescent="0.3">
      <c r="A146" t="s">
        <v>317</v>
      </c>
      <c r="B146" t="s">
        <v>318</v>
      </c>
      <c r="C146" t="s">
        <v>14</v>
      </c>
      <c r="D146" t="s">
        <v>45</v>
      </c>
      <c r="E146" s="2">
        <v>45982</v>
      </c>
      <c r="F146" s="2">
        <v>45982</v>
      </c>
      <c r="G146" s="2">
        <v>46202</v>
      </c>
      <c r="H146">
        <v>15000</v>
      </c>
      <c r="I146" t="s">
        <v>16</v>
      </c>
      <c r="J146" t="s">
        <v>17</v>
      </c>
      <c r="K146" t="s">
        <v>26</v>
      </c>
      <c r="L146">
        <v>15000</v>
      </c>
    </row>
    <row r="147" spans="1:12" x14ac:dyDescent="0.3">
      <c r="A147" t="s">
        <v>319</v>
      </c>
      <c r="B147" t="s">
        <v>320</v>
      </c>
      <c r="C147" t="s">
        <v>38</v>
      </c>
      <c r="D147" t="s">
        <v>45</v>
      </c>
      <c r="E147" s="2">
        <v>45750</v>
      </c>
      <c r="F147" s="2">
        <v>45750</v>
      </c>
      <c r="G147" s="2">
        <v>45867</v>
      </c>
      <c r="H147">
        <v>18000</v>
      </c>
      <c r="I147" t="s">
        <v>16</v>
      </c>
      <c r="J147" t="s">
        <v>17</v>
      </c>
      <c r="K147" t="s">
        <v>18</v>
      </c>
      <c r="L147">
        <v>18000</v>
      </c>
    </row>
    <row r="148" spans="1:12" x14ac:dyDescent="0.3">
      <c r="A148" t="s">
        <v>321</v>
      </c>
      <c r="B148" t="s">
        <v>322</v>
      </c>
      <c r="C148" t="s">
        <v>14</v>
      </c>
      <c r="D148" t="s">
        <v>15</v>
      </c>
      <c r="E148" s="2">
        <v>45925</v>
      </c>
      <c r="F148" s="2">
        <v>45925</v>
      </c>
      <c r="G148" s="2">
        <v>46219</v>
      </c>
      <c r="H148">
        <v>10000</v>
      </c>
      <c r="I148" t="s">
        <v>23</v>
      </c>
      <c r="J148" t="s">
        <v>35</v>
      </c>
      <c r="K148" t="s">
        <v>31</v>
      </c>
      <c r="L148">
        <v>10000</v>
      </c>
    </row>
    <row r="149" spans="1:12" x14ac:dyDescent="0.3">
      <c r="A149" t="s">
        <v>323</v>
      </c>
      <c r="B149" t="s">
        <v>324</v>
      </c>
      <c r="C149" t="s">
        <v>14</v>
      </c>
      <c r="D149" t="s">
        <v>34</v>
      </c>
      <c r="E149" s="2">
        <v>45818</v>
      </c>
      <c r="F149" s="2">
        <v>45818</v>
      </c>
      <c r="G149" s="2">
        <v>46006</v>
      </c>
      <c r="H149">
        <v>10000</v>
      </c>
      <c r="I149" t="s">
        <v>16</v>
      </c>
      <c r="J149" t="s">
        <v>35</v>
      </c>
      <c r="K149" t="s">
        <v>26</v>
      </c>
      <c r="L149">
        <v>10000</v>
      </c>
    </row>
    <row r="150" spans="1:12" x14ac:dyDescent="0.3">
      <c r="A150" t="s">
        <v>325</v>
      </c>
      <c r="B150" t="s">
        <v>326</v>
      </c>
      <c r="C150" t="s">
        <v>21</v>
      </c>
      <c r="D150" t="s">
        <v>22</v>
      </c>
      <c r="E150" s="2">
        <v>46016</v>
      </c>
      <c r="F150" s="2">
        <v>46016</v>
      </c>
      <c r="G150" s="2">
        <v>46145</v>
      </c>
      <c r="H150">
        <v>18000</v>
      </c>
      <c r="I150" t="s">
        <v>16</v>
      </c>
      <c r="J150" t="s">
        <v>17</v>
      </c>
      <c r="K150" t="s">
        <v>68</v>
      </c>
      <c r="L150">
        <v>18000</v>
      </c>
    </row>
    <row r="151" spans="1:12" x14ac:dyDescent="0.3">
      <c r="A151" t="s">
        <v>327</v>
      </c>
      <c r="B151" t="s">
        <v>328</v>
      </c>
      <c r="C151" t="s">
        <v>29</v>
      </c>
      <c r="D151" t="s">
        <v>30</v>
      </c>
      <c r="E151" s="2">
        <v>45704</v>
      </c>
      <c r="F151" s="2">
        <v>45704</v>
      </c>
      <c r="G151" s="2">
        <v>45927</v>
      </c>
      <c r="H151">
        <v>10000</v>
      </c>
      <c r="I151" t="s">
        <v>16</v>
      </c>
      <c r="J151" t="s">
        <v>17</v>
      </c>
      <c r="K151" t="s">
        <v>68</v>
      </c>
      <c r="L151">
        <v>10000</v>
      </c>
    </row>
    <row r="152" spans="1:12" x14ac:dyDescent="0.3">
      <c r="A152" t="s">
        <v>329</v>
      </c>
      <c r="B152" t="s">
        <v>330</v>
      </c>
      <c r="C152" t="s">
        <v>21</v>
      </c>
      <c r="D152" t="s">
        <v>34</v>
      </c>
      <c r="E152" s="2">
        <v>45837</v>
      </c>
      <c r="F152" s="2">
        <v>45837</v>
      </c>
      <c r="G152" s="2">
        <v>46018</v>
      </c>
      <c r="H152">
        <v>15000</v>
      </c>
      <c r="I152" t="s">
        <v>16</v>
      </c>
      <c r="J152" t="s">
        <v>35</v>
      </c>
      <c r="K152" t="s">
        <v>26</v>
      </c>
      <c r="L152">
        <v>15000</v>
      </c>
    </row>
    <row r="153" spans="1:12" x14ac:dyDescent="0.3">
      <c r="A153" t="s">
        <v>331</v>
      </c>
      <c r="B153" t="s">
        <v>332</v>
      </c>
      <c r="C153" t="s">
        <v>21</v>
      </c>
      <c r="D153" t="s">
        <v>45</v>
      </c>
      <c r="E153" s="2">
        <v>46172</v>
      </c>
      <c r="F153" s="2">
        <v>46008</v>
      </c>
      <c r="G153" s="2">
        <v>46183</v>
      </c>
      <c r="H153">
        <v>18000</v>
      </c>
      <c r="I153" t="s">
        <v>23</v>
      </c>
      <c r="J153" t="s">
        <v>17</v>
      </c>
      <c r="K153" t="s">
        <v>31</v>
      </c>
      <c r="L153">
        <v>18000</v>
      </c>
    </row>
    <row r="154" spans="1:12" x14ac:dyDescent="0.3">
      <c r="A154" t="s">
        <v>333</v>
      </c>
      <c r="B154" t="s">
        <v>334</v>
      </c>
      <c r="C154" t="s">
        <v>38</v>
      </c>
      <c r="D154" t="s">
        <v>22</v>
      </c>
      <c r="E154" s="2">
        <v>46032</v>
      </c>
      <c r="F154" s="2">
        <v>46032</v>
      </c>
      <c r="G154" s="2">
        <v>46187</v>
      </c>
      <c r="H154">
        <v>12000</v>
      </c>
      <c r="I154" t="s">
        <v>23</v>
      </c>
      <c r="J154" t="s">
        <v>35</v>
      </c>
      <c r="K154" t="s">
        <v>18</v>
      </c>
      <c r="L154">
        <v>12000</v>
      </c>
    </row>
    <row r="155" spans="1:12" x14ac:dyDescent="0.3">
      <c r="A155" t="s">
        <v>335</v>
      </c>
      <c r="B155" t="s">
        <v>336</v>
      </c>
      <c r="C155" t="s">
        <v>29</v>
      </c>
      <c r="D155" t="s">
        <v>15</v>
      </c>
      <c r="E155" s="2">
        <v>45827</v>
      </c>
      <c r="F155" s="2">
        <v>45827</v>
      </c>
      <c r="G155" s="2">
        <v>46102</v>
      </c>
      <c r="H155">
        <v>12000</v>
      </c>
      <c r="I155" t="s">
        <v>16</v>
      </c>
      <c r="J155" t="s">
        <v>17</v>
      </c>
      <c r="K155" t="s">
        <v>31</v>
      </c>
      <c r="L155">
        <v>12000</v>
      </c>
    </row>
    <row r="156" spans="1:12" x14ac:dyDescent="0.3">
      <c r="A156" t="s">
        <v>337</v>
      </c>
      <c r="B156" t="s">
        <v>338</v>
      </c>
      <c r="C156" t="s">
        <v>21</v>
      </c>
      <c r="D156" t="s">
        <v>22</v>
      </c>
      <c r="E156" s="2">
        <v>46079</v>
      </c>
      <c r="F156" s="2">
        <v>46079</v>
      </c>
      <c r="G156" s="2">
        <v>46426</v>
      </c>
      <c r="H156">
        <v>12000</v>
      </c>
      <c r="I156" t="s">
        <v>23</v>
      </c>
      <c r="J156" t="s">
        <v>35</v>
      </c>
      <c r="K156" t="s">
        <v>31</v>
      </c>
      <c r="L156">
        <v>12000</v>
      </c>
    </row>
    <row r="157" spans="1:12" x14ac:dyDescent="0.3">
      <c r="A157" t="s">
        <v>339</v>
      </c>
      <c r="B157" t="s">
        <v>340</v>
      </c>
      <c r="C157" t="s">
        <v>14</v>
      </c>
      <c r="D157" t="s">
        <v>34</v>
      </c>
      <c r="E157" s="2">
        <v>46139</v>
      </c>
      <c r="F157" s="2">
        <v>46139</v>
      </c>
      <c r="G157" s="2">
        <v>46398</v>
      </c>
      <c r="H157">
        <v>8000</v>
      </c>
      <c r="I157" t="s">
        <v>16</v>
      </c>
      <c r="J157" t="s">
        <v>17</v>
      </c>
      <c r="K157" t="s">
        <v>26</v>
      </c>
      <c r="L157">
        <v>8000</v>
      </c>
    </row>
    <row r="158" spans="1:12" x14ac:dyDescent="0.3">
      <c r="A158" t="s">
        <v>341</v>
      </c>
      <c r="B158" t="s">
        <v>342</v>
      </c>
      <c r="C158" t="s">
        <v>21</v>
      </c>
      <c r="D158" t="s">
        <v>30</v>
      </c>
      <c r="E158" s="2">
        <v>45929</v>
      </c>
      <c r="F158" s="2">
        <v>45929</v>
      </c>
      <c r="G158" s="2">
        <v>46050</v>
      </c>
      <c r="H158">
        <v>12000</v>
      </c>
      <c r="I158" t="s">
        <v>23</v>
      </c>
      <c r="J158" t="s">
        <v>17</v>
      </c>
      <c r="K158" t="s">
        <v>68</v>
      </c>
      <c r="L158">
        <v>12000</v>
      </c>
    </row>
    <row r="159" spans="1:12" x14ac:dyDescent="0.3">
      <c r="A159" t="s">
        <v>343</v>
      </c>
      <c r="B159" t="s">
        <v>344</v>
      </c>
      <c r="C159" t="s">
        <v>38</v>
      </c>
      <c r="D159" t="s">
        <v>15</v>
      </c>
      <c r="E159" s="2">
        <v>46003</v>
      </c>
      <c r="F159" s="2">
        <v>46003</v>
      </c>
      <c r="G159" s="2">
        <v>46286</v>
      </c>
      <c r="H159">
        <v>12000</v>
      </c>
      <c r="I159" t="s">
        <v>23</v>
      </c>
      <c r="J159" t="s">
        <v>35</v>
      </c>
      <c r="K159" t="s">
        <v>31</v>
      </c>
      <c r="L159">
        <v>12000</v>
      </c>
    </row>
    <row r="160" spans="1:12" x14ac:dyDescent="0.3">
      <c r="A160" t="s">
        <v>345</v>
      </c>
      <c r="B160" t="s">
        <v>346</v>
      </c>
      <c r="C160" t="s">
        <v>29</v>
      </c>
      <c r="D160" t="s">
        <v>30</v>
      </c>
      <c r="E160" s="2">
        <v>46111</v>
      </c>
      <c r="F160" s="2">
        <v>46111</v>
      </c>
      <c r="G160" s="2">
        <v>46460</v>
      </c>
      <c r="H160">
        <v>18000</v>
      </c>
      <c r="I160" t="s">
        <v>16</v>
      </c>
      <c r="J160" t="s">
        <v>35</v>
      </c>
      <c r="K160" t="s">
        <v>26</v>
      </c>
      <c r="L160">
        <v>18000</v>
      </c>
    </row>
    <row r="161" spans="1:12" x14ac:dyDescent="0.3">
      <c r="A161" t="s">
        <v>347</v>
      </c>
      <c r="B161" t="s">
        <v>348</v>
      </c>
      <c r="C161" t="s">
        <v>21</v>
      </c>
      <c r="D161" t="s">
        <v>22</v>
      </c>
      <c r="E161" s="2">
        <v>46021</v>
      </c>
      <c r="F161" s="2">
        <v>46021</v>
      </c>
      <c r="G161" s="2">
        <v>46234</v>
      </c>
      <c r="H161">
        <v>18000</v>
      </c>
      <c r="I161" t="s">
        <v>16</v>
      </c>
      <c r="J161" t="s">
        <v>35</v>
      </c>
      <c r="K161" t="s">
        <v>18</v>
      </c>
      <c r="L161">
        <v>18000</v>
      </c>
    </row>
    <row r="162" spans="1:12" x14ac:dyDescent="0.3">
      <c r="A162" t="s">
        <v>349</v>
      </c>
      <c r="B162" t="s">
        <v>350</v>
      </c>
      <c r="C162" t="s">
        <v>29</v>
      </c>
      <c r="D162" t="s">
        <v>34</v>
      </c>
      <c r="E162" s="2">
        <v>45805</v>
      </c>
      <c r="F162" s="2">
        <v>45805</v>
      </c>
      <c r="G162" s="2">
        <v>45921</v>
      </c>
      <c r="H162">
        <v>12000</v>
      </c>
      <c r="I162" t="s">
        <v>23</v>
      </c>
      <c r="J162" t="s">
        <v>17</v>
      </c>
      <c r="K162" t="s">
        <v>68</v>
      </c>
      <c r="L162">
        <v>12000</v>
      </c>
    </row>
    <row r="163" spans="1:12" x14ac:dyDescent="0.3">
      <c r="A163" t="s">
        <v>351</v>
      </c>
      <c r="B163" t="s">
        <v>352</v>
      </c>
      <c r="C163" t="s">
        <v>14</v>
      </c>
      <c r="D163" t="s">
        <v>30</v>
      </c>
      <c r="E163" s="2">
        <v>45745</v>
      </c>
      <c r="F163" s="2">
        <v>45745</v>
      </c>
      <c r="G163" s="2">
        <v>46027</v>
      </c>
      <c r="H163">
        <v>12000</v>
      </c>
      <c r="I163" t="s">
        <v>23</v>
      </c>
      <c r="J163" t="s">
        <v>17</v>
      </c>
      <c r="K163" t="s">
        <v>26</v>
      </c>
      <c r="L163">
        <v>12000</v>
      </c>
    </row>
    <row r="164" spans="1:12" x14ac:dyDescent="0.3">
      <c r="A164" t="s">
        <v>353</v>
      </c>
      <c r="B164" t="s">
        <v>354</v>
      </c>
      <c r="C164" t="s">
        <v>21</v>
      </c>
      <c r="D164" t="s">
        <v>15</v>
      </c>
      <c r="E164" s="2">
        <v>45814</v>
      </c>
      <c r="F164" s="2">
        <v>45814</v>
      </c>
      <c r="G164" s="2">
        <v>45941</v>
      </c>
      <c r="H164">
        <v>12000</v>
      </c>
      <c r="I164" t="s">
        <v>16</v>
      </c>
      <c r="J164" t="s">
        <v>17</v>
      </c>
      <c r="K164" t="s">
        <v>68</v>
      </c>
      <c r="L164">
        <v>12000</v>
      </c>
    </row>
    <row r="165" spans="1:12" x14ac:dyDescent="0.3">
      <c r="A165" t="s">
        <v>355</v>
      </c>
      <c r="B165" t="s">
        <v>356</v>
      </c>
      <c r="C165" t="s">
        <v>38</v>
      </c>
      <c r="D165" t="s">
        <v>34</v>
      </c>
      <c r="E165" s="2">
        <v>45756</v>
      </c>
      <c r="F165" s="2">
        <v>45756</v>
      </c>
      <c r="G165" s="2">
        <v>46167</v>
      </c>
      <c r="H165">
        <v>12000</v>
      </c>
      <c r="I165" t="s">
        <v>16</v>
      </c>
      <c r="J165" t="s">
        <v>35</v>
      </c>
      <c r="K165" t="s">
        <v>68</v>
      </c>
      <c r="L165">
        <v>12000</v>
      </c>
    </row>
    <row r="166" spans="1:12" x14ac:dyDescent="0.3">
      <c r="A166" t="s">
        <v>357</v>
      </c>
      <c r="B166" t="s">
        <v>358</v>
      </c>
      <c r="C166" t="s">
        <v>21</v>
      </c>
      <c r="D166" t="s">
        <v>15</v>
      </c>
      <c r="E166" s="2">
        <v>45679</v>
      </c>
      <c r="F166" s="2">
        <v>45679</v>
      </c>
      <c r="G166" s="2">
        <v>45969</v>
      </c>
      <c r="H166">
        <v>8000</v>
      </c>
      <c r="I166" t="s">
        <v>23</v>
      </c>
      <c r="J166" t="s">
        <v>17</v>
      </c>
      <c r="K166" t="s">
        <v>31</v>
      </c>
      <c r="L166">
        <v>8000</v>
      </c>
    </row>
    <row r="167" spans="1:12" x14ac:dyDescent="0.3">
      <c r="A167" t="s">
        <v>359</v>
      </c>
      <c r="B167" t="s">
        <v>360</v>
      </c>
      <c r="C167" t="s">
        <v>14</v>
      </c>
      <c r="D167" t="s">
        <v>30</v>
      </c>
      <c r="E167" s="2">
        <v>46085</v>
      </c>
      <c r="F167" s="2">
        <v>46085</v>
      </c>
      <c r="G167" s="2">
        <v>46309</v>
      </c>
      <c r="H167">
        <v>10000</v>
      </c>
      <c r="I167" t="s">
        <v>16</v>
      </c>
      <c r="J167" t="s">
        <v>35</v>
      </c>
      <c r="K167" t="s">
        <v>18</v>
      </c>
      <c r="L167">
        <v>10000</v>
      </c>
    </row>
    <row r="168" spans="1:12" x14ac:dyDescent="0.3">
      <c r="A168" t="s">
        <v>361</v>
      </c>
      <c r="B168" t="s">
        <v>362</v>
      </c>
      <c r="C168" t="s">
        <v>29</v>
      </c>
      <c r="D168" t="s">
        <v>45</v>
      </c>
      <c r="E168" s="2">
        <v>45942</v>
      </c>
      <c r="F168" s="2">
        <v>45942</v>
      </c>
      <c r="G168" s="2">
        <v>46278</v>
      </c>
      <c r="H168">
        <v>8000</v>
      </c>
      <c r="I168" t="s">
        <v>23</v>
      </c>
      <c r="J168" t="s">
        <v>35</v>
      </c>
      <c r="K168" t="s">
        <v>26</v>
      </c>
      <c r="L168">
        <v>8000</v>
      </c>
    </row>
    <row r="169" spans="1:12" x14ac:dyDescent="0.3">
      <c r="A169" t="s">
        <v>363</v>
      </c>
      <c r="B169" t="s">
        <v>364</v>
      </c>
      <c r="C169" t="s">
        <v>21</v>
      </c>
      <c r="D169" t="s">
        <v>22</v>
      </c>
      <c r="E169" s="2">
        <v>46038</v>
      </c>
      <c r="F169" s="2">
        <v>46038</v>
      </c>
      <c r="G169" s="2">
        <v>46141</v>
      </c>
      <c r="H169">
        <v>12000</v>
      </c>
      <c r="I169" t="s">
        <v>16</v>
      </c>
      <c r="J169" t="s">
        <v>35</v>
      </c>
      <c r="K169" t="s">
        <v>31</v>
      </c>
      <c r="L169">
        <v>12000</v>
      </c>
    </row>
    <row r="170" spans="1:12" x14ac:dyDescent="0.3">
      <c r="A170" t="s">
        <v>365</v>
      </c>
      <c r="B170" t="s">
        <v>366</v>
      </c>
      <c r="C170" t="s">
        <v>29</v>
      </c>
      <c r="D170" t="s">
        <v>45</v>
      </c>
      <c r="E170" s="2">
        <v>46166</v>
      </c>
      <c r="F170" s="2">
        <v>45898</v>
      </c>
      <c r="G170" s="2">
        <v>46125</v>
      </c>
      <c r="H170">
        <v>8000</v>
      </c>
      <c r="I170" t="s">
        <v>23</v>
      </c>
      <c r="J170" t="s">
        <v>17</v>
      </c>
      <c r="K170" t="s">
        <v>31</v>
      </c>
      <c r="L170">
        <v>8000</v>
      </c>
    </row>
    <row r="171" spans="1:12" x14ac:dyDescent="0.3">
      <c r="A171" t="s">
        <v>367</v>
      </c>
      <c r="B171" t="s">
        <v>368</v>
      </c>
      <c r="C171" t="s">
        <v>21</v>
      </c>
      <c r="D171" t="s">
        <v>30</v>
      </c>
      <c r="E171" s="2">
        <v>46112</v>
      </c>
      <c r="F171" s="2">
        <v>46112</v>
      </c>
      <c r="G171" s="2">
        <v>46360</v>
      </c>
      <c r="H171">
        <v>15000</v>
      </c>
      <c r="I171" t="s">
        <v>16</v>
      </c>
      <c r="J171" t="s">
        <v>35</v>
      </c>
      <c r="K171" t="s">
        <v>31</v>
      </c>
      <c r="L171">
        <v>15000</v>
      </c>
    </row>
    <row r="172" spans="1:12" x14ac:dyDescent="0.3">
      <c r="A172" t="s">
        <v>369</v>
      </c>
      <c r="B172" t="s">
        <v>370</v>
      </c>
      <c r="C172" t="s">
        <v>29</v>
      </c>
      <c r="D172" t="s">
        <v>34</v>
      </c>
      <c r="E172" s="2">
        <v>45703</v>
      </c>
      <c r="F172" s="2">
        <v>45703</v>
      </c>
      <c r="G172" s="2">
        <v>45828</v>
      </c>
      <c r="H172">
        <v>18000</v>
      </c>
      <c r="I172" t="s">
        <v>16</v>
      </c>
      <c r="J172" t="s">
        <v>17</v>
      </c>
      <c r="K172" t="s">
        <v>31</v>
      </c>
      <c r="L172">
        <v>18000</v>
      </c>
    </row>
    <row r="173" spans="1:12" x14ac:dyDescent="0.3">
      <c r="A173" t="s">
        <v>371</v>
      </c>
      <c r="B173" t="s">
        <v>372</v>
      </c>
      <c r="C173" t="s">
        <v>14</v>
      </c>
      <c r="D173" t="s">
        <v>15</v>
      </c>
      <c r="E173" s="2">
        <v>45866</v>
      </c>
      <c r="F173" s="2">
        <v>45866</v>
      </c>
      <c r="G173" s="2">
        <v>46090</v>
      </c>
      <c r="H173">
        <v>12000</v>
      </c>
      <c r="I173" t="s">
        <v>23</v>
      </c>
      <c r="J173" t="s">
        <v>17</v>
      </c>
      <c r="K173" t="s">
        <v>68</v>
      </c>
      <c r="L173">
        <v>12000</v>
      </c>
    </row>
    <row r="174" spans="1:12" x14ac:dyDescent="0.3">
      <c r="A174" t="s">
        <v>373</v>
      </c>
      <c r="B174" t="s">
        <v>374</v>
      </c>
      <c r="C174" t="s">
        <v>29</v>
      </c>
      <c r="D174" t="s">
        <v>34</v>
      </c>
      <c r="E174" s="2">
        <v>46017</v>
      </c>
      <c r="F174" s="2">
        <v>46017</v>
      </c>
      <c r="G174" s="2">
        <v>46373</v>
      </c>
      <c r="H174">
        <v>18000</v>
      </c>
      <c r="I174" t="s">
        <v>23</v>
      </c>
      <c r="J174" t="s">
        <v>35</v>
      </c>
      <c r="K174" t="s">
        <v>68</v>
      </c>
      <c r="L174">
        <v>18000</v>
      </c>
    </row>
    <row r="175" spans="1:12" x14ac:dyDescent="0.3">
      <c r="A175" t="s">
        <v>375</v>
      </c>
      <c r="B175" t="s">
        <v>376</v>
      </c>
      <c r="C175" t="s">
        <v>14</v>
      </c>
      <c r="D175" t="s">
        <v>45</v>
      </c>
      <c r="E175" s="2">
        <v>45837</v>
      </c>
      <c r="F175" s="2">
        <v>45837</v>
      </c>
      <c r="G175" s="2">
        <v>46164</v>
      </c>
      <c r="H175">
        <v>10000</v>
      </c>
      <c r="I175" t="s">
        <v>23</v>
      </c>
      <c r="J175" t="s">
        <v>17</v>
      </c>
      <c r="K175" t="s">
        <v>18</v>
      </c>
      <c r="L175">
        <v>10000</v>
      </c>
    </row>
    <row r="176" spans="1:12" x14ac:dyDescent="0.3">
      <c r="A176" t="s">
        <v>377</v>
      </c>
      <c r="B176" t="s">
        <v>378</v>
      </c>
      <c r="C176" t="s">
        <v>14</v>
      </c>
      <c r="D176" t="s">
        <v>45</v>
      </c>
      <c r="E176" s="2">
        <v>45929</v>
      </c>
      <c r="F176" s="2">
        <v>45929</v>
      </c>
      <c r="G176" s="2">
        <v>46133</v>
      </c>
      <c r="H176">
        <v>10000</v>
      </c>
      <c r="I176" t="s">
        <v>23</v>
      </c>
      <c r="J176" t="s">
        <v>17</v>
      </c>
      <c r="K176" t="s">
        <v>68</v>
      </c>
      <c r="L176">
        <v>10000</v>
      </c>
    </row>
    <row r="177" spans="1:12" x14ac:dyDescent="0.3">
      <c r="A177" t="s">
        <v>379</v>
      </c>
      <c r="B177" t="s">
        <v>380</v>
      </c>
      <c r="C177" t="s">
        <v>14</v>
      </c>
      <c r="D177" t="s">
        <v>45</v>
      </c>
      <c r="E177" s="2">
        <v>45690</v>
      </c>
      <c r="F177" s="2">
        <v>45690</v>
      </c>
      <c r="G177" s="2">
        <v>45863</v>
      </c>
      <c r="H177">
        <v>8000</v>
      </c>
      <c r="I177" t="s">
        <v>16</v>
      </c>
      <c r="J177" t="s">
        <v>17</v>
      </c>
      <c r="K177" t="s">
        <v>31</v>
      </c>
      <c r="L177">
        <v>8000</v>
      </c>
    </row>
    <row r="178" spans="1:12" x14ac:dyDescent="0.3">
      <c r="A178" t="s">
        <v>381</v>
      </c>
      <c r="B178" t="s">
        <v>382</v>
      </c>
      <c r="C178" t="s">
        <v>14</v>
      </c>
      <c r="D178" t="s">
        <v>15</v>
      </c>
      <c r="E178" s="2">
        <v>45787</v>
      </c>
      <c r="F178" s="2">
        <v>45787</v>
      </c>
      <c r="G178" s="2">
        <v>45954</v>
      </c>
      <c r="H178">
        <v>12000</v>
      </c>
      <c r="I178" t="s">
        <v>23</v>
      </c>
      <c r="J178" t="s">
        <v>17</v>
      </c>
      <c r="K178" t="s">
        <v>68</v>
      </c>
      <c r="L178">
        <v>12000</v>
      </c>
    </row>
    <row r="179" spans="1:12" x14ac:dyDescent="0.3">
      <c r="A179" t="s">
        <v>383</v>
      </c>
      <c r="B179" t="s">
        <v>384</v>
      </c>
      <c r="C179" t="s">
        <v>29</v>
      </c>
      <c r="D179" t="s">
        <v>22</v>
      </c>
      <c r="E179" s="2">
        <v>45812</v>
      </c>
      <c r="F179" s="2">
        <v>45812</v>
      </c>
      <c r="G179" s="2">
        <v>45994</v>
      </c>
      <c r="H179">
        <v>12000</v>
      </c>
      <c r="I179" t="s">
        <v>16</v>
      </c>
      <c r="J179" t="s">
        <v>17</v>
      </c>
      <c r="K179" t="s">
        <v>31</v>
      </c>
      <c r="L179">
        <v>12000</v>
      </c>
    </row>
    <row r="180" spans="1:12" x14ac:dyDescent="0.3">
      <c r="A180" t="s">
        <v>385</v>
      </c>
      <c r="B180" t="s">
        <v>386</v>
      </c>
      <c r="C180" t="s">
        <v>21</v>
      </c>
      <c r="D180" t="s">
        <v>45</v>
      </c>
      <c r="E180" s="2">
        <v>46017</v>
      </c>
      <c r="F180" s="2">
        <v>46017</v>
      </c>
      <c r="G180" s="2">
        <v>46168</v>
      </c>
      <c r="H180">
        <v>10000</v>
      </c>
      <c r="I180" t="s">
        <v>16</v>
      </c>
      <c r="J180" t="s">
        <v>35</v>
      </c>
      <c r="K180" t="s">
        <v>26</v>
      </c>
      <c r="L180">
        <v>10000</v>
      </c>
    </row>
    <row r="181" spans="1:12" x14ac:dyDescent="0.3">
      <c r="A181" t="s">
        <v>387</v>
      </c>
      <c r="B181" t="s">
        <v>388</v>
      </c>
      <c r="C181" t="s">
        <v>38</v>
      </c>
      <c r="D181" t="s">
        <v>30</v>
      </c>
      <c r="E181" s="2">
        <v>45784</v>
      </c>
      <c r="F181" s="2">
        <v>45784</v>
      </c>
      <c r="G181" s="2">
        <v>46135</v>
      </c>
      <c r="H181">
        <v>15000</v>
      </c>
      <c r="I181" t="s">
        <v>23</v>
      </c>
      <c r="J181" t="s">
        <v>17</v>
      </c>
      <c r="K181" t="s">
        <v>31</v>
      </c>
      <c r="L181">
        <v>15000</v>
      </c>
    </row>
    <row r="182" spans="1:12" x14ac:dyDescent="0.3">
      <c r="A182" t="s">
        <v>389</v>
      </c>
      <c r="B182" t="s">
        <v>390</v>
      </c>
      <c r="C182" t="s">
        <v>21</v>
      </c>
      <c r="D182" t="s">
        <v>15</v>
      </c>
      <c r="E182" s="2">
        <v>45746</v>
      </c>
      <c r="F182" s="2">
        <v>45746</v>
      </c>
      <c r="G182" s="2">
        <v>45955</v>
      </c>
      <c r="H182">
        <v>10000</v>
      </c>
      <c r="I182" t="s">
        <v>16</v>
      </c>
      <c r="J182" t="s">
        <v>35</v>
      </c>
      <c r="K182" t="s">
        <v>26</v>
      </c>
      <c r="L182">
        <v>10000</v>
      </c>
    </row>
    <row r="183" spans="1:12" x14ac:dyDescent="0.3">
      <c r="A183" t="s">
        <v>391</v>
      </c>
      <c r="B183" t="s">
        <v>392</v>
      </c>
      <c r="C183" t="s">
        <v>21</v>
      </c>
      <c r="D183" t="s">
        <v>34</v>
      </c>
      <c r="E183" s="2">
        <v>45858</v>
      </c>
      <c r="F183" s="2">
        <v>45858</v>
      </c>
      <c r="G183" s="2">
        <v>46145</v>
      </c>
      <c r="H183">
        <v>12000</v>
      </c>
      <c r="I183" t="s">
        <v>16</v>
      </c>
      <c r="J183" t="s">
        <v>17</v>
      </c>
      <c r="K183" t="s">
        <v>31</v>
      </c>
      <c r="L183">
        <v>12000</v>
      </c>
    </row>
    <row r="184" spans="1:12" x14ac:dyDescent="0.3">
      <c r="A184" t="s">
        <v>393</v>
      </c>
      <c r="B184" t="s">
        <v>394</v>
      </c>
      <c r="C184" t="s">
        <v>38</v>
      </c>
      <c r="D184" t="s">
        <v>15</v>
      </c>
      <c r="E184" s="2">
        <v>46045</v>
      </c>
      <c r="F184" s="2">
        <v>46045</v>
      </c>
      <c r="G184" s="2">
        <v>46239</v>
      </c>
      <c r="I184" t="s">
        <v>16</v>
      </c>
      <c r="J184" t="s">
        <v>17</v>
      </c>
      <c r="K184" t="s">
        <v>31</v>
      </c>
    </row>
    <row r="185" spans="1:12" x14ac:dyDescent="0.3">
      <c r="A185" t="s">
        <v>395</v>
      </c>
      <c r="B185" t="s">
        <v>396</v>
      </c>
      <c r="C185" t="s">
        <v>21</v>
      </c>
      <c r="D185" t="s">
        <v>30</v>
      </c>
      <c r="E185" s="2">
        <v>45767</v>
      </c>
      <c r="F185" s="2">
        <v>45767</v>
      </c>
      <c r="G185" s="2">
        <v>45967</v>
      </c>
      <c r="H185">
        <v>8000</v>
      </c>
      <c r="I185" t="s">
        <v>16</v>
      </c>
      <c r="J185" t="s">
        <v>35</v>
      </c>
      <c r="K185" t="s">
        <v>26</v>
      </c>
      <c r="L185">
        <v>8000</v>
      </c>
    </row>
    <row r="186" spans="1:12" x14ac:dyDescent="0.3">
      <c r="A186" t="s">
        <v>397</v>
      </c>
      <c r="B186" t="s">
        <v>398</v>
      </c>
      <c r="C186" t="s">
        <v>29</v>
      </c>
      <c r="D186" t="s">
        <v>15</v>
      </c>
      <c r="E186" s="2">
        <v>45933</v>
      </c>
      <c r="F186" s="2">
        <v>45933</v>
      </c>
      <c r="G186" s="2">
        <v>46172</v>
      </c>
      <c r="H186">
        <v>8000</v>
      </c>
      <c r="I186" t="s">
        <v>16</v>
      </c>
      <c r="J186" t="s">
        <v>17</v>
      </c>
      <c r="K186" t="s">
        <v>68</v>
      </c>
      <c r="L186">
        <v>8000</v>
      </c>
    </row>
    <row r="187" spans="1:12" x14ac:dyDescent="0.3">
      <c r="A187" t="s">
        <v>399</v>
      </c>
      <c r="B187" t="s">
        <v>400</v>
      </c>
      <c r="C187" t="s">
        <v>29</v>
      </c>
      <c r="D187" t="s">
        <v>15</v>
      </c>
      <c r="E187" s="2">
        <v>46156</v>
      </c>
      <c r="F187" s="2">
        <v>45830</v>
      </c>
      <c r="G187" s="2">
        <v>46148</v>
      </c>
      <c r="H187">
        <v>18000</v>
      </c>
      <c r="I187" t="s">
        <v>23</v>
      </c>
      <c r="J187" t="s">
        <v>17</v>
      </c>
      <c r="K187" t="s">
        <v>26</v>
      </c>
      <c r="L187">
        <v>18000</v>
      </c>
    </row>
    <row r="188" spans="1:12" x14ac:dyDescent="0.3">
      <c r="A188" t="s">
        <v>401</v>
      </c>
      <c r="B188" t="s">
        <v>402</v>
      </c>
      <c r="C188" t="s">
        <v>21</v>
      </c>
      <c r="D188" t="s">
        <v>45</v>
      </c>
      <c r="E188" s="2">
        <v>46077</v>
      </c>
      <c r="F188" s="2">
        <v>46077</v>
      </c>
      <c r="G188" s="2">
        <v>46193</v>
      </c>
      <c r="H188">
        <v>12000</v>
      </c>
      <c r="I188" t="s">
        <v>16</v>
      </c>
      <c r="J188" t="s">
        <v>35</v>
      </c>
      <c r="K188" t="s">
        <v>26</v>
      </c>
      <c r="L188">
        <v>12000</v>
      </c>
    </row>
    <row r="189" spans="1:12" x14ac:dyDescent="0.3">
      <c r="A189" t="s">
        <v>403</v>
      </c>
      <c r="B189" t="s">
        <v>404</v>
      </c>
      <c r="C189" t="s">
        <v>21</v>
      </c>
      <c r="D189" t="s">
        <v>22</v>
      </c>
      <c r="E189" s="2">
        <v>46073</v>
      </c>
      <c r="F189" s="2">
        <v>46073</v>
      </c>
      <c r="G189" s="2">
        <v>46174</v>
      </c>
      <c r="H189">
        <v>12000</v>
      </c>
      <c r="I189" t="s">
        <v>16</v>
      </c>
      <c r="J189" t="s">
        <v>35</v>
      </c>
      <c r="K189" t="s">
        <v>31</v>
      </c>
      <c r="L189">
        <v>12000</v>
      </c>
    </row>
    <row r="190" spans="1:12" x14ac:dyDescent="0.3">
      <c r="A190" t="s">
        <v>405</v>
      </c>
      <c r="B190" t="s">
        <v>406</v>
      </c>
      <c r="C190" t="s">
        <v>21</v>
      </c>
      <c r="D190" t="s">
        <v>45</v>
      </c>
      <c r="E190" s="2">
        <v>45780</v>
      </c>
      <c r="F190" s="2">
        <v>45780</v>
      </c>
      <c r="G190" s="2">
        <v>46038</v>
      </c>
      <c r="H190">
        <v>12000</v>
      </c>
      <c r="I190" t="s">
        <v>23</v>
      </c>
      <c r="J190" t="s">
        <v>35</v>
      </c>
      <c r="K190" t="s">
        <v>18</v>
      </c>
      <c r="L190">
        <v>12000</v>
      </c>
    </row>
    <row r="191" spans="1:12" x14ac:dyDescent="0.3">
      <c r="A191" t="s">
        <v>407</v>
      </c>
      <c r="B191" t="s">
        <v>408</v>
      </c>
      <c r="C191" t="s">
        <v>14</v>
      </c>
      <c r="D191" t="s">
        <v>15</v>
      </c>
      <c r="E191" s="2">
        <v>45800</v>
      </c>
      <c r="F191" s="2">
        <v>45800</v>
      </c>
      <c r="G191" s="2">
        <v>46107</v>
      </c>
      <c r="H191">
        <v>18000</v>
      </c>
      <c r="I191" t="s">
        <v>23</v>
      </c>
      <c r="J191" t="s">
        <v>35</v>
      </c>
      <c r="K191" t="s">
        <v>68</v>
      </c>
      <c r="L191">
        <v>18000</v>
      </c>
    </row>
    <row r="192" spans="1:12" x14ac:dyDescent="0.3">
      <c r="A192" t="s">
        <v>409</v>
      </c>
      <c r="B192" t="s">
        <v>410</v>
      </c>
      <c r="C192" t="s">
        <v>21</v>
      </c>
      <c r="D192" t="s">
        <v>30</v>
      </c>
      <c r="E192" s="2">
        <v>45713</v>
      </c>
      <c r="F192" s="2">
        <v>45713</v>
      </c>
      <c r="G192" s="2">
        <v>46053</v>
      </c>
      <c r="H192">
        <v>10000</v>
      </c>
      <c r="I192" t="s">
        <v>23</v>
      </c>
      <c r="J192" t="s">
        <v>35</v>
      </c>
      <c r="K192" t="s">
        <v>18</v>
      </c>
      <c r="L192">
        <v>10000</v>
      </c>
    </row>
    <row r="193" spans="1:12" x14ac:dyDescent="0.3">
      <c r="A193" t="s">
        <v>411</v>
      </c>
      <c r="B193" t="s">
        <v>412</v>
      </c>
      <c r="C193" t="s">
        <v>29</v>
      </c>
      <c r="D193" t="s">
        <v>15</v>
      </c>
      <c r="E193" s="2">
        <v>46125</v>
      </c>
      <c r="F193" s="2">
        <v>46125</v>
      </c>
      <c r="G193" s="2">
        <v>46378</v>
      </c>
      <c r="H193">
        <v>15000</v>
      </c>
      <c r="I193" t="s">
        <v>16</v>
      </c>
      <c r="J193" t="s">
        <v>17</v>
      </c>
      <c r="K193" t="s">
        <v>26</v>
      </c>
      <c r="L193">
        <v>15000</v>
      </c>
    </row>
    <row r="194" spans="1:12" x14ac:dyDescent="0.3">
      <c r="A194" t="s">
        <v>413</v>
      </c>
      <c r="B194" t="s">
        <v>414</v>
      </c>
      <c r="C194" t="s">
        <v>29</v>
      </c>
      <c r="D194" t="s">
        <v>34</v>
      </c>
      <c r="E194" s="2">
        <v>46015</v>
      </c>
      <c r="F194" s="2">
        <v>46015</v>
      </c>
      <c r="G194" s="2">
        <v>46194</v>
      </c>
      <c r="H194">
        <v>10000</v>
      </c>
      <c r="I194" t="s">
        <v>23</v>
      </c>
      <c r="J194" t="s">
        <v>35</v>
      </c>
      <c r="K194" t="s">
        <v>68</v>
      </c>
      <c r="L194">
        <v>10000</v>
      </c>
    </row>
    <row r="195" spans="1:12" x14ac:dyDescent="0.3">
      <c r="A195" t="s">
        <v>415</v>
      </c>
      <c r="B195" t="s">
        <v>416</v>
      </c>
      <c r="C195" t="s">
        <v>29</v>
      </c>
      <c r="D195" t="s">
        <v>34</v>
      </c>
      <c r="E195" s="2">
        <v>45935</v>
      </c>
      <c r="F195" s="2">
        <v>45935</v>
      </c>
      <c r="G195" s="2">
        <v>46160</v>
      </c>
      <c r="H195">
        <v>10000</v>
      </c>
      <c r="I195" t="s">
        <v>16</v>
      </c>
      <c r="J195" t="s">
        <v>35</v>
      </c>
      <c r="K195" t="s">
        <v>31</v>
      </c>
      <c r="L195">
        <v>10000</v>
      </c>
    </row>
    <row r="196" spans="1:12" x14ac:dyDescent="0.3">
      <c r="A196" t="s">
        <v>417</v>
      </c>
      <c r="B196" t="s">
        <v>418</v>
      </c>
      <c r="C196" t="s">
        <v>29</v>
      </c>
      <c r="D196" t="s">
        <v>30</v>
      </c>
      <c r="E196" s="2">
        <v>45882</v>
      </c>
      <c r="F196" s="2">
        <v>45882</v>
      </c>
      <c r="G196" s="2">
        <v>46072</v>
      </c>
      <c r="H196">
        <v>12000</v>
      </c>
      <c r="I196" t="s">
        <v>16</v>
      </c>
      <c r="J196" t="s">
        <v>35</v>
      </c>
      <c r="K196" t="s">
        <v>18</v>
      </c>
      <c r="L196">
        <v>12000</v>
      </c>
    </row>
    <row r="197" spans="1:12" x14ac:dyDescent="0.3">
      <c r="A197" t="s">
        <v>419</v>
      </c>
      <c r="B197" t="s">
        <v>420</v>
      </c>
      <c r="C197" t="s">
        <v>21</v>
      </c>
      <c r="D197" t="s">
        <v>30</v>
      </c>
      <c r="E197" s="2">
        <v>45955</v>
      </c>
      <c r="F197" s="2">
        <v>45955</v>
      </c>
      <c r="G197" s="2">
        <v>46129</v>
      </c>
      <c r="H197">
        <v>8000</v>
      </c>
      <c r="I197" t="s">
        <v>16</v>
      </c>
      <c r="J197" t="s">
        <v>17</v>
      </c>
      <c r="K197" t="s">
        <v>18</v>
      </c>
      <c r="L197">
        <v>8000</v>
      </c>
    </row>
    <row r="198" spans="1:12" x14ac:dyDescent="0.3">
      <c r="A198" t="s">
        <v>421</v>
      </c>
      <c r="B198" t="s">
        <v>422</v>
      </c>
      <c r="C198" t="s">
        <v>29</v>
      </c>
      <c r="D198" t="s">
        <v>45</v>
      </c>
      <c r="E198" s="2">
        <v>46159</v>
      </c>
      <c r="F198" s="2">
        <v>46159</v>
      </c>
      <c r="G198" s="2">
        <v>46498</v>
      </c>
      <c r="H198">
        <v>12000</v>
      </c>
      <c r="I198" t="s">
        <v>16</v>
      </c>
      <c r="J198" t="s">
        <v>35</v>
      </c>
      <c r="K198" t="s">
        <v>18</v>
      </c>
      <c r="L198">
        <v>12000</v>
      </c>
    </row>
    <row r="199" spans="1:12" x14ac:dyDescent="0.3">
      <c r="A199" t="s">
        <v>423</v>
      </c>
      <c r="B199" t="s">
        <v>424</v>
      </c>
      <c r="C199" t="s">
        <v>14</v>
      </c>
      <c r="D199" t="s">
        <v>45</v>
      </c>
      <c r="E199" s="2">
        <v>45952</v>
      </c>
      <c r="F199" s="2">
        <v>45952</v>
      </c>
      <c r="G199" s="2">
        <v>46102</v>
      </c>
      <c r="H199">
        <v>8000</v>
      </c>
      <c r="I199" t="s">
        <v>23</v>
      </c>
      <c r="J199" t="s">
        <v>35</v>
      </c>
      <c r="K199" t="s">
        <v>68</v>
      </c>
      <c r="L199">
        <v>8000</v>
      </c>
    </row>
    <row r="200" spans="1:12" x14ac:dyDescent="0.3">
      <c r="A200" t="s">
        <v>425</v>
      </c>
      <c r="B200" t="s">
        <v>426</v>
      </c>
      <c r="C200" t="s">
        <v>14</v>
      </c>
      <c r="D200" t="s">
        <v>34</v>
      </c>
      <c r="E200" s="2">
        <v>45859</v>
      </c>
      <c r="F200" s="2">
        <v>45859</v>
      </c>
      <c r="G200" s="2">
        <v>46124</v>
      </c>
      <c r="H200">
        <v>18000</v>
      </c>
      <c r="I200" t="s">
        <v>16</v>
      </c>
      <c r="J200" t="s">
        <v>35</v>
      </c>
      <c r="K200" t="s">
        <v>68</v>
      </c>
      <c r="L200">
        <v>18000</v>
      </c>
    </row>
    <row r="201" spans="1:12" x14ac:dyDescent="0.3">
      <c r="A201" t="s">
        <v>427</v>
      </c>
      <c r="B201" t="s">
        <v>428</v>
      </c>
      <c r="C201" t="s">
        <v>14</v>
      </c>
      <c r="D201" t="s">
        <v>30</v>
      </c>
      <c r="E201" s="2">
        <v>46155</v>
      </c>
      <c r="F201" s="2">
        <v>46155</v>
      </c>
      <c r="G201" s="2">
        <v>46326</v>
      </c>
      <c r="H201">
        <v>12000</v>
      </c>
      <c r="I201" t="s">
        <v>16</v>
      </c>
      <c r="J201" t="s">
        <v>35</v>
      </c>
      <c r="K201" t="s">
        <v>18</v>
      </c>
      <c r="L201">
        <v>12000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1B62-8558-440A-9831-9F8C7F3CD6EF}">
  <dimension ref="A1:Q201"/>
  <sheetViews>
    <sheetView topLeftCell="B1" workbookViewId="0">
      <selection activeCell="N6" sqref="N6"/>
    </sheetView>
  </sheetViews>
  <sheetFormatPr defaultRowHeight="14.4" x14ac:dyDescent="0.3"/>
  <cols>
    <col min="1" max="1" width="12.33203125" customWidth="1"/>
    <col min="2" max="2" width="15.5546875" customWidth="1"/>
    <col min="3" max="3" width="10.21875" customWidth="1"/>
    <col min="5" max="5" width="14.44140625" customWidth="1"/>
    <col min="6" max="6" width="21" customWidth="1"/>
    <col min="7" max="7" width="20.21875" customWidth="1"/>
    <col min="8" max="8" width="14.44140625" customWidth="1"/>
    <col min="9" max="9" width="17.88671875" customWidth="1"/>
    <col min="10" max="10" width="15.77734375" customWidth="1"/>
    <col min="11" max="11" width="16" customWidth="1"/>
    <col min="12" max="12" width="10.21875" customWidth="1"/>
    <col min="15" max="15" width="24" customWidth="1"/>
    <col min="17" max="17" width="43.332031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row>
    <row r="2" spans="1:17" x14ac:dyDescent="0.3">
      <c r="A2" t="s">
        <v>12</v>
      </c>
      <c r="B2" t="s">
        <v>13</v>
      </c>
      <c r="C2" t="s">
        <v>14</v>
      </c>
      <c r="D2" t="s">
        <v>30</v>
      </c>
      <c r="E2" s="2">
        <v>46131</v>
      </c>
      <c r="F2" s="2">
        <v>46131</v>
      </c>
      <c r="G2" s="2">
        <v>46339</v>
      </c>
      <c r="H2">
        <v>10000</v>
      </c>
      <c r="I2" t="s">
        <v>16</v>
      </c>
      <c r="J2" t="s">
        <v>17</v>
      </c>
      <c r="K2" t="s">
        <v>18</v>
      </c>
      <c r="L2">
        <v>10000</v>
      </c>
    </row>
    <row r="3" spans="1:17" x14ac:dyDescent="0.3">
      <c r="A3" t="s">
        <v>19</v>
      </c>
      <c r="B3" t="s">
        <v>20</v>
      </c>
      <c r="C3" t="s">
        <v>21</v>
      </c>
      <c r="D3" t="s">
        <v>22</v>
      </c>
      <c r="E3" s="2">
        <v>46028</v>
      </c>
      <c r="F3" s="2">
        <v>46028</v>
      </c>
      <c r="G3" s="2">
        <v>46149</v>
      </c>
      <c r="H3">
        <v>12000</v>
      </c>
      <c r="I3" t="s">
        <v>23</v>
      </c>
      <c r="J3" t="s">
        <v>17</v>
      </c>
      <c r="K3" t="s">
        <v>18</v>
      </c>
      <c r="L3">
        <v>12000</v>
      </c>
    </row>
    <row r="4" spans="1:17" x14ac:dyDescent="0.3">
      <c r="A4" t="s">
        <v>24</v>
      </c>
      <c r="B4" t="s">
        <v>25</v>
      </c>
      <c r="C4" t="s">
        <v>21</v>
      </c>
      <c r="D4" t="s">
        <v>30</v>
      </c>
      <c r="E4" s="2">
        <v>45840</v>
      </c>
      <c r="F4" s="2">
        <v>45840</v>
      </c>
      <c r="G4" s="2">
        <v>45974</v>
      </c>
      <c r="H4">
        <v>10000</v>
      </c>
      <c r="I4" t="s">
        <v>23</v>
      </c>
      <c r="J4" t="s">
        <v>17</v>
      </c>
      <c r="K4" t="s">
        <v>26</v>
      </c>
      <c r="L4">
        <v>10000</v>
      </c>
    </row>
    <row r="5" spans="1:17" x14ac:dyDescent="0.3">
      <c r="A5" t="s">
        <v>27</v>
      </c>
      <c r="B5" t="s">
        <v>28</v>
      </c>
      <c r="C5" t="s">
        <v>29</v>
      </c>
      <c r="D5" t="s">
        <v>30</v>
      </c>
      <c r="E5" s="2">
        <v>45748</v>
      </c>
      <c r="F5" s="2">
        <v>45748</v>
      </c>
      <c r="G5" s="2">
        <v>45983</v>
      </c>
      <c r="H5">
        <v>10000</v>
      </c>
      <c r="I5" t="s">
        <v>23</v>
      </c>
      <c r="J5" t="s">
        <v>17</v>
      </c>
      <c r="K5" t="s">
        <v>31</v>
      </c>
      <c r="L5">
        <v>10000</v>
      </c>
    </row>
    <row r="6" spans="1:17" x14ac:dyDescent="0.3">
      <c r="A6" t="s">
        <v>32</v>
      </c>
      <c r="B6" t="s">
        <v>33</v>
      </c>
      <c r="C6" t="s">
        <v>14</v>
      </c>
      <c r="D6" t="s">
        <v>30</v>
      </c>
      <c r="E6" s="2">
        <v>46113</v>
      </c>
      <c r="F6" s="2">
        <v>46113</v>
      </c>
      <c r="G6" s="2">
        <v>46395</v>
      </c>
      <c r="H6">
        <v>10000</v>
      </c>
      <c r="I6" t="s">
        <v>16</v>
      </c>
      <c r="J6" t="s">
        <v>35</v>
      </c>
      <c r="K6" t="s">
        <v>26</v>
      </c>
      <c r="L6">
        <v>10000</v>
      </c>
    </row>
    <row r="7" spans="1:17" x14ac:dyDescent="0.3">
      <c r="A7" t="s">
        <v>36</v>
      </c>
      <c r="B7" t="s">
        <v>37</v>
      </c>
      <c r="C7" t="s">
        <v>38</v>
      </c>
      <c r="D7" t="s">
        <v>30</v>
      </c>
      <c r="E7" s="2">
        <v>45680</v>
      </c>
      <c r="F7" s="2">
        <v>45680</v>
      </c>
      <c r="G7" s="2">
        <v>45884</v>
      </c>
      <c r="H7">
        <v>8000</v>
      </c>
      <c r="I7" t="s">
        <v>16</v>
      </c>
      <c r="J7" t="s">
        <v>35</v>
      </c>
      <c r="K7" t="s">
        <v>31</v>
      </c>
      <c r="L7">
        <v>8000</v>
      </c>
    </row>
    <row r="8" spans="1:17" x14ac:dyDescent="0.3">
      <c r="A8" t="s">
        <v>39</v>
      </c>
      <c r="B8" t="s">
        <v>40</v>
      </c>
      <c r="C8" t="s">
        <v>29</v>
      </c>
      <c r="D8" t="s">
        <v>30</v>
      </c>
      <c r="E8" s="2">
        <v>45952</v>
      </c>
      <c r="F8" s="2">
        <v>45952</v>
      </c>
      <c r="G8" s="2">
        <v>46115</v>
      </c>
      <c r="H8">
        <v>8000</v>
      </c>
      <c r="I8" t="s">
        <v>16</v>
      </c>
      <c r="J8" t="s">
        <v>17</v>
      </c>
      <c r="K8" t="s">
        <v>31</v>
      </c>
      <c r="L8">
        <v>8000</v>
      </c>
    </row>
    <row r="9" spans="1:17" x14ac:dyDescent="0.3">
      <c r="A9" t="s">
        <v>41</v>
      </c>
      <c r="B9" t="s">
        <v>42</v>
      </c>
      <c r="C9" t="s">
        <v>14</v>
      </c>
      <c r="D9" t="s">
        <v>30</v>
      </c>
      <c r="E9" s="2">
        <v>45942</v>
      </c>
      <c r="F9" s="2">
        <v>45942</v>
      </c>
      <c r="G9" s="2">
        <v>46077</v>
      </c>
      <c r="H9">
        <v>12000</v>
      </c>
      <c r="I9" t="s">
        <v>16</v>
      </c>
      <c r="J9" t="s">
        <v>17</v>
      </c>
      <c r="K9" t="s">
        <v>18</v>
      </c>
      <c r="L9">
        <v>12000</v>
      </c>
    </row>
    <row r="10" spans="1:17" x14ac:dyDescent="0.3">
      <c r="A10" t="s">
        <v>43</v>
      </c>
      <c r="B10" t="s">
        <v>44</v>
      </c>
      <c r="C10" t="s">
        <v>14</v>
      </c>
      <c r="D10" t="s">
        <v>45</v>
      </c>
      <c r="E10" s="2">
        <v>46012</v>
      </c>
      <c r="F10" s="2">
        <v>46012</v>
      </c>
      <c r="G10" s="2">
        <v>46297</v>
      </c>
      <c r="H10">
        <v>15000</v>
      </c>
      <c r="I10" t="s">
        <v>16</v>
      </c>
      <c r="J10" t="s">
        <v>35</v>
      </c>
      <c r="K10" t="s">
        <v>31</v>
      </c>
      <c r="L10">
        <v>15000</v>
      </c>
    </row>
    <row r="11" spans="1:17" x14ac:dyDescent="0.3">
      <c r="A11" t="s">
        <v>46</v>
      </c>
      <c r="B11" t="s">
        <v>47</v>
      </c>
      <c r="C11" t="s">
        <v>29</v>
      </c>
      <c r="D11" t="s">
        <v>30</v>
      </c>
      <c r="E11" s="2">
        <v>45765</v>
      </c>
      <c r="F11" s="2">
        <v>45765</v>
      </c>
      <c r="G11" s="2">
        <v>46041</v>
      </c>
      <c r="H11">
        <v>15000</v>
      </c>
      <c r="I11" t="s">
        <v>23</v>
      </c>
      <c r="J11" t="s">
        <v>17</v>
      </c>
      <c r="K11" t="s">
        <v>18</v>
      </c>
      <c r="L11">
        <v>15000</v>
      </c>
    </row>
    <row r="12" spans="1:17" x14ac:dyDescent="0.3">
      <c r="A12" t="s">
        <v>48</v>
      </c>
      <c r="B12" t="s">
        <v>49</v>
      </c>
      <c r="C12" t="s">
        <v>38</v>
      </c>
      <c r="D12" t="s">
        <v>30</v>
      </c>
      <c r="E12" s="2">
        <v>45925</v>
      </c>
      <c r="F12" s="2">
        <v>45925</v>
      </c>
      <c r="G12" s="2">
        <v>46130</v>
      </c>
      <c r="H12">
        <v>18000</v>
      </c>
      <c r="I12" t="s">
        <v>23</v>
      </c>
      <c r="J12" t="s">
        <v>35</v>
      </c>
      <c r="K12" t="s">
        <v>18</v>
      </c>
      <c r="L12">
        <v>18000</v>
      </c>
    </row>
    <row r="13" spans="1:17" x14ac:dyDescent="0.3">
      <c r="A13" t="s">
        <v>50</v>
      </c>
      <c r="B13" t="s">
        <v>51</v>
      </c>
      <c r="C13" t="s">
        <v>29</v>
      </c>
      <c r="D13" t="s">
        <v>30</v>
      </c>
      <c r="E13" s="2">
        <v>46000</v>
      </c>
      <c r="F13" s="2">
        <v>46000</v>
      </c>
      <c r="G13" s="2">
        <v>46334</v>
      </c>
      <c r="H13">
        <v>8000</v>
      </c>
      <c r="I13" t="s">
        <v>16</v>
      </c>
      <c r="J13" t="s">
        <v>35</v>
      </c>
      <c r="K13" t="s">
        <v>18</v>
      </c>
      <c r="L13">
        <v>8000</v>
      </c>
    </row>
    <row r="14" spans="1:17" x14ac:dyDescent="0.3">
      <c r="A14" t="s">
        <v>52</v>
      </c>
      <c r="B14" t="s">
        <v>53</v>
      </c>
      <c r="C14" t="s">
        <v>14</v>
      </c>
      <c r="D14" t="s">
        <v>30</v>
      </c>
      <c r="E14" s="2">
        <v>45912</v>
      </c>
      <c r="F14" s="2">
        <v>45912</v>
      </c>
      <c r="G14" s="2">
        <v>46171</v>
      </c>
      <c r="H14">
        <v>10000</v>
      </c>
      <c r="I14" t="s">
        <v>16</v>
      </c>
      <c r="J14" t="s">
        <v>35</v>
      </c>
      <c r="K14" t="s">
        <v>31</v>
      </c>
      <c r="L14">
        <v>10000</v>
      </c>
    </row>
    <row r="15" spans="1:17" x14ac:dyDescent="0.3">
      <c r="A15" t="s">
        <v>54</v>
      </c>
      <c r="B15" t="s">
        <v>55</v>
      </c>
      <c r="C15" t="s">
        <v>14</v>
      </c>
      <c r="D15" t="s">
        <v>22</v>
      </c>
      <c r="E15" s="2">
        <v>46083</v>
      </c>
      <c r="F15" s="2">
        <v>46083</v>
      </c>
      <c r="G15" s="2">
        <v>46172</v>
      </c>
      <c r="H15">
        <v>12000</v>
      </c>
      <c r="I15" t="s">
        <v>16</v>
      </c>
      <c r="J15" t="s">
        <v>17</v>
      </c>
      <c r="K15" t="s">
        <v>18</v>
      </c>
      <c r="L15">
        <v>12000</v>
      </c>
      <c r="O15" s="27" t="s">
        <v>429</v>
      </c>
      <c r="P15" s="5" t="s">
        <v>435</v>
      </c>
      <c r="Q15" s="5" t="s">
        <v>461</v>
      </c>
    </row>
    <row r="16" spans="1:17" ht="28.8" x14ac:dyDescent="0.3">
      <c r="A16" t="s">
        <v>56</v>
      </c>
      <c r="B16" t="s">
        <v>57</v>
      </c>
      <c r="C16" t="s">
        <v>14</v>
      </c>
      <c r="D16" t="s">
        <v>30</v>
      </c>
      <c r="E16" s="2">
        <v>45870</v>
      </c>
      <c r="F16" s="2">
        <v>45870</v>
      </c>
      <c r="G16" s="2">
        <v>46028</v>
      </c>
      <c r="H16">
        <v>18000</v>
      </c>
      <c r="I16" t="s">
        <v>16</v>
      </c>
      <c r="J16" t="s">
        <v>35</v>
      </c>
      <c r="K16" t="s">
        <v>31</v>
      </c>
      <c r="L16">
        <v>18000</v>
      </c>
      <c r="O16" s="22" t="s">
        <v>430</v>
      </c>
      <c r="P16" s="22">
        <v>4</v>
      </c>
      <c r="Q16" s="28" t="s">
        <v>462</v>
      </c>
    </row>
    <row r="17" spans="1:17" x14ac:dyDescent="0.3">
      <c r="A17" t="s">
        <v>58</v>
      </c>
      <c r="B17" t="s">
        <v>59</v>
      </c>
      <c r="C17" t="s">
        <v>29</v>
      </c>
      <c r="D17" t="s">
        <v>30</v>
      </c>
      <c r="E17" s="2">
        <v>46147</v>
      </c>
      <c r="F17" s="2">
        <v>45759</v>
      </c>
      <c r="G17" s="2">
        <v>46036</v>
      </c>
      <c r="H17">
        <v>12000</v>
      </c>
      <c r="I17" t="s">
        <v>23</v>
      </c>
      <c r="J17" t="s">
        <v>17</v>
      </c>
      <c r="K17" t="s">
        <v>18</v>
      </c>
      <c r="L17">
        <v>12000</v>
      </c>
      <c r="O17" s="22" t="s">
        <v>431</v>
      </c>
      <c r="P17" s="22">
        <f>ROWS(A2:A201)-COUNTA(_xlfn.UNIQUE(A2:A201))</f>
        <v>0</v>
      </c>
      <c r="Q17" s="20" t="s">
        <v>463</v>
      </c>
    </row>
    <row r="18" spans="1:17" x14ac:dyDescent="0.3">
      <c r="A18" t="s">
        <v>60</v>
      </c>
      <c r="B18" t="s">
        <v>61</v>
      </c>
      <c r="C18" t="s">
        <v>21</v>
      </c>
      <c r="D18" t="s">
        <v>30</v>
      </c>
      <c r="E18" s="2">
        <v>46035</v>
      </c>
      <c r="F18" s="2">
        <v>46035</v>
      </c>
      <c r="G18" s="2">
        <v>46182</v>
      </c>
      <c r="H18">
        <v>18000</v>
      </c>
      <c r="I18" t="s">
        <v>16</v>
      </c>
      <c r="J18" t="s">
        <v>35</v>
      </c>
      <c r="K18" t="s">
        <v>26</v>
      </c>
      <c r="L18">
        <v>18000</v>
      </c>
      <c r="O18" s="22" t="s">
        <v>432</v>
      </c>
      <c r="P18" s="22">
        <v>0</v>
      </c>
      <c r="Q18" s="20" t="s">
        <v>464</v>
      </c>
    </row>
    <row r="19" spans="1:17" x14ac:dyDescent="0.3">
      <c r="A19" t="s">
        <v>62</v>
      </c>
      <c r="B19" t="s">
        <v>63</v>
      </c>
      <c r="C19" t="s">
        <v>38</v>
      </c>
      <c r="D19" t="s">
        <v>30</v>
      </c>
      <c r="E19" s="2">
        <v>45779</v>
      </c>
      <c r="F19" s="2">
        <v>45779</v>
      </c>
      <c r="G19" s="2">
        <v>46141</v>
      </c>
      <c r="H19">
        <v>18000</v>
      </c>
      <c r="I19" t="s">
        <v>16</v>
      </c>
      <c r="J19" t="s">
        <v>17</v>
      </c>
      <c r="K19" t="s">
        <v>18</v>
      </c>
      <c r="L19">
        <v>18000</v>
      </c>
      <c r="O19" s="22" t="s">
        <v>433</v>
      </c>
      <c r="P19" s="22">
        <v>0</v>
      </c>
      <c r="Q19" s="20" t="s">
        <v>465</v>
      </c>
    </row>
    <row r="20" spans="1:17" x14ac:dyDescent="0.3">
      <c r="A20" t="s">
        <v>64</v>
      </c>
      <c r="B20" t="s">
        <v>65</v>
      </c>
      <c r="C20" t="s">
        <v>38</v>
      </c>
      <c r="D20" t="s">
        <v>30</v>
      </c>
      <c r="E20" s="2">
        <v>45758</v>
      </c>
      <c r="F20" s="2">
        <v>45758</v>
      </c>
      <c r="G20" s="2">
        <v>45965</v>
      </c>
      <c r="H20">
        <v>8000</v>
      </c>
      <c r="I20" t="s">
        <v>16</v>
      </c>
      <c r="J20" t="s">
        <v>35</v>
      </c>
      <c r="K20" t="s">
        <v>18</v>
      </c>
      <c r="L20">
        <v>8000</v>
      </c>
      <c r="O20" s="22" t="s">
        <v>434</v>
      </c>
      <c r="P20" s="22">
        <v>0</v>
      </c>
      <c r="Q20" s="20" t="s">
        <v>466</v>
      </c>
    </row>
    <row r="21" spans="1:17" x14ac:dyDescent="0.3">
      <c r="A21" t="s">
        <v>66</v>
      </c>
      <c r="B21" t="s">
        <v>67</v>
      </c>
      <c r="C21" t="s">
        <v>29</v>
      </c>
      <c r="D21" t="s">
        <v>30</v>
      </c>
      <c r="E21" s="2">
        <v>46129</v>
      </c>
      <c r="F21" s="2">
        <v>46129</v>
      </c>
      <c r="G21" s="2">
        <v>46412</v>
      </c>
      <c r="H21">
        <v>12000</v>
      </c>
      <c r="I21" t="s">
        <v>16</v>
      </c>
      <c r="J21" t="s">
        <v>17</v>
      </c>
      <c r="K21" t="s">
        <v>68</v>
      </c>
      <c r="L21">
        <v>12000</v>
      </c>
    </row>
    <row r="22" spans="1:17" x14ac:dyDescent="0.3">
      <c r="A22" t="s">
        <v>69</v>
      </c>
      <c r="B22" t="s">
        <v>70</v>
      </c>
      <c r="C22" t="s">
        <v>38</v>
      </c>
      <c r="D22" t="s">
        <v>30</v>
      </c>
      <c r="E22" s="2">
        <v>46064</v>
      </c>
      <c r="F22" s="2">
        <v>46064</v>
      </c>
      <c r="G22" s="2">
        <v>46257</v>
      </c>
      <c r="H22">
        <v>12000</v>
      </c>
      <c r="I22" t="s">
        <v>16</v>
      </c>
      <c r="J22" t="s">
        <v>17</v>
      </c>
      <c r="K22" t="s">
        <v>18</v>
      </c>
      <c r="L22">
        <v>12000</v>
      </c>
    </row>
    <row r="23" spans="1:17" x14ac:dyDescent="0.3">
      <c r="A23" t="s">
        <v>71</v>
      </c>
      <c r="B23" t="s">
        <v>72</v>
      </c>
      <c r="C23" t="s">
        <v>14</v>
      </c>
      <c r="D23" t="s">
        <v>30</v>
      </c>
      <c r="E23" s="2">
        <v>45700</v>
      </c>
      <c r="F23" s="2">
        <v>45700</v>
      </c>
      <c r="G23" s="2">
        <v>45882</v>
      </c>
      <c r="H23">
        <v>18000</v>
      </c>
      <c r="I23" t="s">
        <v>23</v>
      </c>
      <c r="J23" t="s">
        <v>35</v>
      </c>
      <c r="K23" t="s">
        <v>31</v>
      </c>
      <c r="L23">
        <v>18000</v>
      </c>
    </row>
    <row r="24" spans="1:17" x14ac:dyDescent="0.3">
      <c r="A24" t="s">
        <v>73</v>
      </c>
      <c r="B24" t="s">
        <v>74</v>
      </c>
      <c r="C24" t="s">
        <v>38</v>
      </c>
      <c r="D24" t="s">
        <v>45</v>
      </c>
      <c r="E24" s="2">
        <v>46009</v>
      </c>
      <c r="F24" s="2">
        <v>46009</v>
      </c>
      <c r="G24" s="2">
        <v>46292</v>
      </c>
      <c r="H24">
        <v>15000</v>
      </c>
      <c r="I24" t="s">
        <v>23</v>
      </c>
      <c r="J24" t="s">
        <v>35</v>
      </c>
      <c r="K24" t="s">
        <v>18</v>
      </c>
      <c r="L24">
        <v>15000</v>
      </c>
    </row>
    <row r="25" spans="1:17" x14ac:dyDescent="0.3">
      <c r="A25" t="s">
        <v>75</v>
      </c>
      <c r="B25" t="s">
        <v>76</v>
      </c>
      <c r="C25" t="s">
        <v>29</v>
      </c>
      <c r="D25" t="s">
        <v>22</v>
      </c>
      <c r="E25" s="2">
        <v>45752</v>
      </c>
      <c r="F25" s="2">
        <v>45752</v>
      </c>
      <c r="G25" s="2">
        <v>45949</v>
      </c>
      <c r="H25">
        <v>18000</v>
      </c>
      <c r="I25" t="s">
        <v>16</v>
      </c>
      <c r="J25" t="s">
        <v>17</v>
      </c>
      <c r="K25" t="s">
        <v>26</v>
      </c>
      <c r="L25">
        <v>18000</v>
      </c>
    </row>
    <row r="26" spans="1:17" x14ac:dyDescent="0.3">
      <c r="A26" t="s">
        <v>77</v>
      </c>
      <c r="B26" t="s">
        <v>78</v>
      </c>
      <c r="C26" t="s">
        <v>14</v>
      </c>
      <c r="D26" t="s">
        <v>30</v>
      </c>
      <c r="E26" s="2">
        <v>45924</v>
      </c>
      <c r="F26" s="2">
        <v>45924</v>
      </c>
      <c r="G26" s="2">
        <v>46132</v>
      </c>
      <c r="H26">
        <v>10000</v>
      </c>
      <c r="I26" t="s">
        <v>16</v>
      </c>
      <c r="J26" t="s">
        <v>35</v>
      </c>
      <c r="K26" t="s">
        <v>26</v>
      </c>
      <c r="L26">
        <v>10000</v>
      </c>
    </row>
    <row r="27" spans="1:17" x14ac:dyDescent="0.3">
      <c r="A27" t="s">
        <v>79</v>
      </c>
      <c r="B27" t="s">
        <v>80</v>
      </c>
      <c r="C27" t="s">
        <v>38</v>
      </c>
      <c r="D27" t="s">
        <v>22</v>
      </c>
      <c r="E27" s="2">
        <v>45932</v>
      </c>
      <c r="F27" s="2">
        <v>45932</v>
      </c>
      <c r="G27" s="2">
        <v>46148</v>
      </c>
      <c r="H27">
        <v>12000</v>
      </c>
      <c r="I27" t="s">
        <v>16</v>
      </c>
      <c r="J27" t="s">
        <v>17</v>
      </c>
      <c r="K27" t="s">
        <v>68</v>
      </c>
      <c r="L27">
        <v>12000</v>
      </c>
    </row>
    <row r="28" spans="1:17" x14ac:dyDescent="0.3">
      <c r="A28" t="s">
        <v>81</v>
      </c>
      <c r="B28" t="s">
        <v>82</v>
      </c>
      <c r="C28" t="s">
        <v>38</v>
      </c>
      <c r="D28" t="s">
        <v>22</v>
      </c>
      <c r="E28" s="2">
        <v>45867</v>
      </c>
      <c r="F28" s="2">
        <v>45867</v>
      </c>
      <c r="G28" s="2">
        <v>46180</v>
      </c>
      <c r="H28">
        <v>8000</v>
      </c>
      <c r="I28" t="s">
        <v>23</v>
      </c>
      <c r="J28" t="s">
        <v>35</v>
      </c>
      <c r="K28" t="s">
        <v>68</v>
      </c>
      <c r="L28">
        <v>8000</v>
      </c>
    </row>
    <row r="29" spans="1:17" x14ac:dyDescent="0.3">
      <c r="A29" t="s">
        <v>83</v>
      </c>
      <c r="B29" t="s">
        <v>84</v>
      </c>
      <c r="C29" t="s">
        <v>14</v>
      </c>
      <c r="D29" t="s">
        <v>30</v>
      </c>
      <c r="E29" s="2">
        <v>45779</v>
      </c>
      <c r="F29" s="2">
        <v>45779</v>
      </c>
      <c r="G29" s="2">
        <v>45972</v>
      </c>
      <c r="H29">
        <v>10000</v>
      </c>
      <c r="I29" t="s">
        <v>23</v>
      </c>
      <c r="J29" t="s">
        <v>35</v>
      </c>
      <c r="K29" t="s">
        <v>31</v>
      </c>
      <c r="L29">
        <v>10000</v>
      </c>
    </row>
    <row r="30" spans="1:17" x14ac:dyDescent="0.3">
      <c r="A30" t="s">
        <v>85</v>
      </c>
      <c r="B30" t="s">
        <v>86</v>
      </c>
      <c r="C30" t="s">
        <v>38</v>
      </c>
      <c r="D30" t="s">
        <v>45</v>
      </c>
      <c r="E30" s="2">
        <v>46094</v>
      </c>
      <c r="F30" s="2">
        <v>46094</v>
      </c>
      <c r="G30" s="2">
        <v>46143</v>
      </c>
      <c r="H30">
        <v>8000</v>
      </c>
      <c r="I30" t="s">
        <v>16</v>
      </c>
      <c r="J30" t="s">
        <v>17</v>
      </c>
      <c r="K30" t="s">
        <v>18</v>
      </c>
      <c r="L30">
        <v>8000</v>
      </c>
    </row>
    <row r="31" spans="1:17" x14ac:dyDescent="0.3">
      <c r="A31" t="s">
        <v>87</v>
      </c>
      <c r="B31" t="s">
        <v>88</v>
      </c>
      <c r="C31" t="s">
        <v>38</v>
      </c>
      <c r="D31" t="s">
        <v>30</v>
      </c>
      <c r="E31" s="2">
        <v>45799</v>
      </c>
      <c r="F31" s="2">
        <v>45799</v>
      </c>
      <c r="G31" s="2">
        <v>45916</v>
      </c>
      <c r="H31">
        <v>8000</v>
      </c>
      <c r="I31" t="s">
        <v>16</v>
      </c>
      <c r="J31" t="s">
        <v>35</v>
      </c>
      <c r="K31" t="s">
        <v>26</v>
      </c>
      <c r="L31">
        <v>8000</v>
      </c>
    </row>
    <row r="32" spans="1:17" x14ac:dyDescent="0.3">
      <c r="A32" t="s">
        <v>89</v>
      </c>
      <c r="B32" t="s">
        <v>90</v>
      </c>
      <c r="C32" t="s">
        <v>29</v>
      </c>
      <c r="D32" t="s">
        <v>30</v>
      </c>
      <c r="E32" s="2">
        <v>46098</v>
      </c>
      <c r="F32" s="2">
        <v>46098</v>
      </c>
      <c r="G32" s="2">
        <v>46327</v>
      </c>
      <c r="H32">
        <v>15000</v>
      </c>
      <c r="I32" t="s">
        <v>16</v>
      </c>
      <c r="J32" t="s">
        <v>35</v>
      </c>
      <c r="K32" t="s">
        <v>18</v>
      </c>
      <c r="L32">
        <v>15000</v>
      </c>
    </row>
    <row r="33" spans="1:12" x14ac:dyDescent="0.3">
      <c r="A33" t="s">
        <v>91</v>
      </c>
      <c r="B33" t="s">
        <v>92</v>
      </c>
      <c r="C33" t="s">
        <v>38</v>
      </c>
      <c r="D33" t="s">
        <v>45</v>
      </c>
      <c r="E33" s="2">
        <v>45812</v>
      </c>
      <c r="F33" s="2">
        <v>45812</v>
      </c>
      <c r="G33" s="2">
        <v>46098</v>
      </c>
      <c r="H33">
        <v>15000</v>
      </c>
      <c r="I33" t="s">
        <v>23</v>
      </c>
      <c r="J33" t="s">
        <v>17</v>
      </c>
      <c r="K33" t="s">
        <v>68</v>
      </c>
      <c r="L33">
        <v>15000</v>
      </c>
    </row>
    <row r="34" spans="1:12" x14ac:dyDescent="0.3">
      <c r="A34" t="s">
        <v>93</v>
      </c>
      <c r="B34" t="s">
        <v>94</v>
      </c>
      <c r="C34" t="s">
        <v>38</v>
      </c>
      <c r="D34" t="s">
        <v>45</v>
      </c>
      <c r="E34" s="2">
        <v>46173</v>
      </c>
      <c r="F34" s="2">
        <v>45861</v>
      </c>
      <c r="G34" s="2">
        <v>46195</v>
      </c>
      <c r="H34">
        <v>12000</v>
      </c>
      <c r="I34" t="s">
        <v>16</v>
      </c>
      <c r="J34" t="s">
        <v>17</v>
      </c>
      <c r="K34" t="s">
        <v>18</v>
      </c>
      <c r="L34">
        <v>12000</v>
      </c>
    </row>
    <row r="35" spans="1:12" x14ac:dyDescent="0.3">
      <c r="A35" t="s">
        <v>95</v>
      </c>
      <c r="B35" t="s">
        <v>96</v>
      </c>
      <c r="C35" t="s">
        <v>14</v>
      </c>
      <c r="D35" t="s">
        <v>30</v>
      </c>
      <c r="E35" s="2">
        <v>45690</v>
      </c>
      <c r="F35" s="2">
        <v>45690</v>
      </c>
      <c r="G35" s="2">
        <v>45951</v>
      </c>
      <c r="H35">
        <v>12000</v>
      </c>
      <c r="I35" t="s">
        <v>23</v>
      </c>
      <c r="J35" t="s">
        <v>35</v>
      </c>
      <c r="K35" t="s">
        <v>18</v>
      </c>
      <c r="L35">
        <v>12000</v>
      </c>
    </row>
    <row r="36" spans="1:12" x14ac:dyDescent="0.3">
      <c r="A36" t="s">
        <v>97</v>
      </c>
      <c r="B36" t="s">
        <v>98</v>
      </c>
      <c r="C36" t="s">
        <v>14</v>
      </c>
      <c r="D36" t="s">
        <v>22</v>
      </c>
      <c r="E36" s="2">
        <v>45708</v>
      </c>
      <c r="F36" s="2">
        <v>45708</v>
      </c>
      <c r="G36" s="2">
        <v>45961</v>
      </c>
      <c r="H36">
        <v>10000</v>
      </c>
      <c r="I36" t="s">
        <v>16</v>
      </c>
      <c r="J36" t="s">
        <v>35</v>
      </c>
      <c r="K36" t="s">
        <v>68</v>
      </c>
      <c r="L36">
        <v>10000</v>
      </c>
    </row>
    <row r="37" spans="1:12" x14ac:dyDescent="0.3">
      <c r="A37" t="s">
        <v>99</v>
      </c>
      <c r="B37" t="s">
        <v>100</v>
      </c>
      <c r="C37" t="s">
        <v>38</v>
      </c>
      <c r="D37" t="s">
        <v>22</v>
      </c>
      <c r="E37" s="2">
        <v>45804</v>
      </c>
      <c r="F37" s="2">
        <v>45804</v>
      </c>
      <c r="G37" s="2">
        <v>46069</v>
      </c>
      <c r="H37">
        <v>8000</v>
      </c>
      <c r="I37" t="s">
        <v>16</v>
      </c>
      <c r="J37" t="s">
        <v>17</v>
      </c>
      <c r="K37" t="s">
        <v>26</v>
      </c>
      <c r="L37">
        <v>8000</v>
      </c>
    </row>
    <row r="38" spans="1:12" x14ac:dyDescent="0.3">
      <c r="A38" t="s">
        <v>101</v>
      </c>
      <c r="B38" t="s">
        <v>102</v>
      </c>
      <c r="C38" t="s">
        <v>29</v>
      </c>
      <c r="D38" t="s">
        <v>30</v>
      </c>
      <c r="E38" s="2">
        <v>46031</v>
      </c>
      <c r="F38" s="2">
        <v>46031</v>
      </c>
      <c r="G38" s="2">
        <v>46223</v>
      </c>
      <c r="H38">
        <v>18000</v>
      </c>
      <c r="I38" t="s">
        <v>23</v>
      </c>
      <c r="J38" t="s">
        <v>17</v>
      </c>
      <c r="K38" t="s">
        <v>68</v>
      </c>
      <c r="L38">
        <v>18000</v>
      </c>
    </row>
    <row r="39" spans="1:12" x14ac:dyDescent="0.3">
      <c r="A39" t="s">
        <v>103</v>
      </c>
      <c r="B39" t="s">
        <v>104</v>
      </c>
      <c r="C39" t="s">
        <v>14</v>
      </c>
      <c r="D39" t="s">
        <v>45</v>
      </c>
      <c r="E39" s="2">
        <v>45905</v>
      </c>
      <c r="F39" s="2">
        <v>45905</v>
      </c>
      <c r="G39" s="2">
        <v>46134</v>
      </c>
      <c r="H39">
        <v>18000</v>
      </c>
      <c r="I39" t="s">
        <v>23</v>
      </c>
      <c r="J39" t="s">
        <v>35</v>
      </c>
      <c r="K39" t="s">
        <v>26</v>
      </c>
      <c r="L39">
        <v>18000</v>
      </c>
    </row>
    <row r="40" spans="1:12" x14ac:dyDescent="0.3">
      <c r="A40" t="s">
        <v>105</v>
      </c>
      <c r="B40" t="s">
        <v>106</v>
      </c>
      <c r="C40" t="s">
        <v>14</v>
      </c>
      <c r="D40" t="s">
        <v>22</v>
      </c>
      <c r="E40" s="2">
        <v>45836</v>
      </c>
      <c r="F40" s="2">
        <v>45836</v>
      </c>
      <c r="G40" s="2">
        <v>46086</v>
      </c>
      <c r="H40">
        <v>12000</v>
      </c>
      <c r="I40" t="s">
        <v>23</v>
      </c>
      <c r="J40" t="s">
        <v>17</v>
      </c>
      <c r="K40" t="s">
        <v>31</v>
      </c>
      <c r="L40">
        <v>12000</v>
      </c>
    </row>
    <row r="41" spans="1:12" x14ac:dyDescent="0.3">
      <c r="A41" t="s">
        <v>107</v>
      </c>
      <c r="B41" t="s">
        <v>108</v>
      </c>
      <c r="C41" t="s">
        <v>14</v>
      </c>
      <c r="D41" t="s">
        <v>30</v>
      </c>
      <c r="E41" s="2">
        <v>45887</v>
      </c>
      <c r="F41" s="2">
        <v>45887</v>
      </c>
      <c r="G41" s="2">
        <v>46079</v>
      </c>
      <c r="H41">
        <v>8000</v>
      </c>
      <c r="I41" t="s">
        <v>16</v>
      </c>
      <c r="J41" t="s">
        <v>17</v>
      </c>
      <c r="K41" t="s">
        <v>68</v>
      </c>
      <c r="L41">
        <v>8000</v>
      </c>
    </row>
    <row r="42" spans="1:12" x14ac:dyDescent="0.3">
      <c r="A42" t="s">
        <v>109</v>
      </c>
      <c r="B42" t="s">
        <v>110</v>
      </c>
      <c r="C42" t="s">
        <v>29</v>
      </c>
      <c r="D42" t="s">
        <v>22</v>
      </c>
      <c r="E42" s="2">
        <v>46011</v>
      </c>
      <c r="F42" s="2">
        <v>46011</v>
      </c>
      <c r="G42" s="2">
        <v>46280</v>
      </c>
      <c r="H42">
        <v>12000</v>
      </c>
      <c r="I42" t="s">
        <v>23</v>
      </c>
      <c r="J42" t="s">
        <v>35</v>
      </c>
      <c r="K42" t="s">
        <v>68</v>
      </c>
      <c r="L42">
        <v>12000</v>
      </c>
    </row>
    <row r="43" spans="1:12" x14ac:dyDescent="0.3">
      <c r="A43" t="s">
        <v>111</v>
      </c>
      <c r="B43" t="s">
        <v>112</v>
      </c>
      <c r="C43" t="s">
        <v>21</v>
      </c>
      <c r="D43" t="s">
        <v>45</v>
      </c>
      <c r="E43" s="2">
        <v>46101</v>
      </c>
      <c r="F43" s="2">
        <v>46101</v>
      </c>
      <c r="G43" s="2">
        <v>46252</v>
      </c>
      <c r="H43">
        <v>12000</v>
      </c>
      <c r="I43" t="s">
        <v>16</v>
      </c>
      <c r="J43" t="s">
        <v>35</v>
      </c>
      <c r="K43" t="s">
        <v>68</v>
      </c>
      <c r="L43">
        <v>12000</v>
      </c>
    </row>
    <row r="44" spans="1:12" x14ac:dyDescent="0.3">
      <c r="A44" t="s">
        <v>113</v>
      </c>
      <c r="B44" t="s">
        <v>114</v>
      </c>
      <c r="C44" t="s">
        <v>38</v>
      </c>
      <c r="D44" t="s">
        <v>30</v>
      </c>
      <c r="E44" s="2">
        <v>46093</v>
      </c>
      <c r="F44" s="2">
        <v>46093</v>
      </c>
      <c r="G44" s="2">
        <v>46351</v>
      </c>
      <c r="H44">
        <v>15000</v>
      </c>
      <c r="I44" t="s">
        <v>23</v>
      </c>
      <c r="J44" t="s">
        <v>17</v>
      </c>
      <c r="K44" t="s">
        <v>26</v>
      </c>
      <c r="L44">
        <v>15000</v>
      </c>
    </row>
    <row r="45" spans="1:12" x14ac:dyDescent="0.3">
      <c r="A45" t="s">
        <v>115</v>
      </c>
      <c r="B45" t="s">
        <v>116</v>
      </c>
      <c r="C45" t="s">
        <v>14</v>
      </c>
      <c r="D45" t="s">
        <v>30</v>
      </c>
      <c r="E45" s="2">
        <v>45763</v>
      </c>
      <c r="F45" s="2">
        <v>45763</v>
      </c>
      <c r="G45" s="2">
        <v>46170</v>
      </c>
      <c r="H45">
        <v>10000</v>
      </c>
      <c r="I45" t="s">
        <v>16</v>
      </c>
      <c r="J45" t="s">
        <v>17</v>
      </c>
      <c r="K45" t="s">
        <v>31</v>
      </c>
      <c r="L45">
        <v>10000</v>
      </c>
    </row>
    <row r="46" spans="1:12" x14ac:dyDescent="0.3">
      <c r="A46" t="s">
        <v>117</v>
      </c>
      <c r="B46" t="s">
        <v>118</v>
      </c>
      <c r="C46" t="s">
        <v>14</v>
      </c>
      <c r="D46" t="s">
        <v>22</v>
      </c>
      <c r="E46" s="2">
        <v>45892</v>
      </c>
      <c r="F46" s="2">
        <v>45892</v>
      </c>
      <c r="G46" s="2">
        <v>46157</v>
      </c>
      <c r="H46">
        <v>8000</v>
      </c>
      <c r="I46" t="s">
        <v>23</v>
      </c>
      <c r="J46" t="s">
        <v>35</v>
      </c>
      <c r="K46" t="s">
        <v>26</v>
      </c>
      <c r="L46">
        <v>8000</v>
      </c>
    </row>
    <row r="47" spans="1:12" x14ac:dyDescent="0.3">
      <c r="A47" t="s">
        <v>119</v>
      </c>
      <c r="B47" t="s">
        <v>120</v>
      </c>
      <c r="C47" t="s">
        <v>14</v>
      </c>
      <c r="D47" t="s">
        <v>30</v>
      </c>
      <c r="E47" s="2">
        <v>45895</v>
      </c>
      <c r="F47" s="2">
        <v>45895</v>
      </c>
      <c r="G47" s="2">
        <v>46073</v>
      </c>
      <c r="H47">
        <v>8000</v>
      </c>
      <c r="I47" t="s">
        <v>16</v>
      </c>
      <c r="J47" t="s">
        <v>17</v>
      </c>
      <c r="K47" t="s">
        <v>31</v>
      </c>
      <c r="L47">
        <v>8000</v>
      </c>
    </row>
    <row r="48" spans="1:12" x14ac:dyDescent="0.3">
      <c r="A48" t="s">
        <v>121</v>
      </c>
      <c r="B48" t="s">
        <v>122</v>
      </c>
      <c r="C48" t="s">
        <v>14</v>
      </c>
      <c r="D48" t="s">
        <v>30</v>
      </c>
      <c r="E48" s="2">
        <v>46130</v>
      </c>
      <c r="F48" s="2">
        <v>46130</v>
      </c>
      <c r="G48" s="2">
        <v>46455</v>
      </c>
      <c r="H48">
        <v>10000</v>
      </c>
      <c r="I48" t="s">
        <v>23</v>
      </c>
      <c r="J48" t="s">
        <v>35</v>
      </c>
      <c r="K48" t="s">
        <v>18</v>
      </c>
      <c r="L48">
        <v>10000</v>
      </c>
    </row>
    <row r="49" spans="1:12" x14ac:dyDescent="0.3">
      <c r="A49" t="s">
        <v>123</v>
      </c>
      <c r="B49" t="s">
        <v>124</v>
      </c>
      <c r="C49" t="s">
        <v>21</v>
      </c>
      <c r="D49" t="s">
        <v>30</v>
      </c>
      <c r="E49" s="2">
        <v>45903</v>
      </c>
      <c r="F49" s="2">
        <v>45903</v>
      </c>
      <c r="G49" s="2">
        <v>46166</v>
      </c>
      <c r="H49">
        <v>12000</v>
      </c>
      <c r="I49" t="s">
        <v>23</v>
      </c>
      <c r="J49" t="s">
        <v>17</v>
      </c>
      <c r="K49" t="s">
        <v>31</v>
      </c>
      <c r="L49">
        <v>12000</v>
      </c>
    </row>
    <row r="50" spans="1:12" x14ac:dyDescent="0.3">
      <c r="A50" t="s">
        <v>125</v>
      </c>
      <c r="B50" t="s">
        <v>126</v>
      </c>
      <c r="C50" t="s">
        <v>38</v>
      </c>
      <c r="D50" t="s">
        <v>30</v>
      </c>
      <c r="E50" s="2">
        <v>45918</v>
      </c>
      <c r="F50" s="2">
        <v>45918</v>
      </c>
      <c r="G50" s="2">
        <v>46179</v>
      </c>
      <c r="H50">
        <v>8000</v>
      </c>
      <c r="I50" t="s">
        <v>23</v>
      </c>
      <c r="J50" t="s">
        <v>35</v>
      </c>
      <c r="K50" t="s">
        <v>18</v>
      </c>
      <c r="L50">
        <v>8000</v>
      </c>
    </row>
    <row r="51" spans="1:12" x14ac:dyDescent="0.3">
      <c r="A51" t="s">
        <v>127</v>
      </c>
      <c r="B51" t="s">
        <v>128</v>
      </c>
      <c r="C51" t="s">
        <v>21</v>
      </c>
      <c r="D51" t="s">
        <v>30</v>
      </c>
      <c r="E51" s="2">
        <v>46153</v>
      </c>
      <c r="F51" s="2">
        <v>46152</v>
      </c>
      <c r="G51" s="2">
        <v>46342</v>
      </c>
      <c r="H51">
        <v>15000</v>
      </c>
      <c r="I51" t="s">
        <v>23</v>
      </c>
      <c r="J51" t="s">
        <v>17</v>
      </c>
      <c r="K51" t="s">
        <v>31</v>
      </c>
      <c r="L51">
        <v>15000</v>
      </c>
    </row>
    <row r="52" spans="1:12" x14ac:dyDescent="0.3">
      <c r="A52" t="s">
        <v>129</v>
      </c>
      <c r="B52" t="s">
        <v>130</v>
      </c>
      <c r="C52" t="s">
        <v>29</v>
      </c>
      <c r="D52" t="s">
        <v>22</v>
      </c>
      <c r="E52" s="2">
        <v>45876</v>
      </c>
      <c r="F52" s="2">
        <v>45876</v>
      </c>
      <c r="G52" s="2">
        <v>46196</v>
      </c>
      <c r="H52">
        <v>15000</v>
      </c>
      <c r="I52" t="s">
        <v>23</v>
      </c>
      <c r="J52" t="s">
        <v>17</v>
      </c>
      <c r="K52" t="s">
        <v>26</v>
      </c>
      <c r="L52">
        <v>15000</v>
      </c>
    </row>
    <row r="53" spans="1:12" x14ac:dyDescent="0.3">
      <c r="A53" t="s">
        <v>131</v>
      </c>
      <c r="B53" t="s">
        <v>132</v>
      </c>
      <c r="C53" t="s">
        <v>21</v>
      </c>
      <c r="D53" t="s">
        <v>30</v>
      </c>
      <c r="E53" s="2">
        <v>46002</v>
      </c>
      <c r="F53" s="2">
        <v>46002</v>
      </c>
      <c r="G53" s="2">
        <v>46335</v>
      </c>
      <c r="H53">
        <v>10000</v>
      </c>
      <c r="I53" t="s">
        <v>16</v>
      </c>
      <c r="J53" t="s">
        <v>17</v>
      </c>
      <c r="K53" t="s">
        <v>31</v>
      </c>
      <c r="L53">
        <v>10000</v>
      </c>
    </row>
    <row r="54" spans="1:12" x14ac:dyDescent="0.3">
      <c r="A54" t="s">
        <v>133</v>
      </c>
      <c r="B54" t="s">
        <v>134</v>
      </c>
      <c r="C54" t="s">
        <v>29</v>
      </c>
      <c r="D54" t="s">
        <v>30</v>
      </c>
      <c r="E54" s="2">
        <v>45836</v>
      </c>
      <c r="F54" s="2">
        <v>45836</v>
      </c>
      <c r="G54" s="2">
        <v>46009</v>
      </c>
      <c r="H54">
        <v>10000</v>
      </c>
      <c r="I54" t="s">
        <v>16</v>
      </c>
      <c r="J54" t="s">
        <v>17</v>
      </c>
      <c r="K54" t="s">
        <v>18</v>
      </c>
      <c r="L54">
        <v>10000</v>
      </c>
    </row>
    <row r="55" spans="1:12" x14ac:dyDescent="0.3">
      <c r="A55" t="s">
        <v>135</v>
      </c>
      <c r="B55" t="s">
        <v>136</v>
      </c>
      <c r="C55" t="s">
        <v>21</v>
      </c>
      <c r="D55" t="s">
        <v>30</v>
      </c>
      <c r="E55" s="2">
        <v>46073</v>
      </c>
      <c r="F55" s="2">
        <v>46073</v>
      </c>
      <c r="G55" s="2">
        <v>46424</v>
      </c>
      <c r="H55">
        <v>8000</v>
      </c>
      <c r="I55" t="s">
        <v>16</v>
      </c>
      <c r="J55" t="s">
        <v>35</v>
      </c>
      <c r="K55" t="s">
        <v>26</v>
      </c>
      <c r="L55">
        <v>8000</v>
      </c>
    </row>
    <row r="56" spans="1:12" x14ac:dyDescent="0.3">
      <c r="A56" t="s">
        <v>137</v>
      </c>
      <c r="B56" t="s">
        <v>138</v>
      </c>
      <c r="C56" t="s">
        <v>38</v>
      </c>
      <c r="D56" t="s">
        <v>30</v>
      </c>
      <c r="E56" s="2">
        <v>46044</v>
      </c>
      <c r="F56" s="2">
        <v>46044</v>
      </c>
      <c r="G56" s="2">
        <v>46319</v>
      </c>
      <c r="H56">
        <v>8000</v>
      </c>
      <c r="I56" t="s">
        <v>16</v>
      </c>
      <c r="J56" t="s">
        <v>17</v>
      </c>
      <c r="K56" t="s">
        <v>68</v>
      </c>
      <c r="L56">
        <v>8000</v>
      </c>
    </row>
    <row r="57" spans="1:12" x14ac:dyDescent="0.3">
      <c r="A57" t="s">
        <v>139</v>
      </c>
      <c r="B57" t="s">
        <v>140</v>
      </c>
      <c r="C57" t="s">
        <v>21</v>
      </c>
      <c r="D57" t="s">
        <v>30</v>
      </c>
      <c r="E57" s="2">
        <v>45938</v>
      </c>
      <c r="F57" s="2">
        <v>45938</v>
      </c>
      <c r="G57" s="2">
        <v>46111</v>
      </c>
      <c r="H57">
        <v>12000</v>
      </c>
      <c r="I57" t="s">
        <v>16</v>
      </c>
      <c r="J57" t="s">
        <v>17</v>
      </c>
      <c r="K57" t="s">
        <v>68</v>
      </c>
      <c r="L57">
        <v>12000</v>
      </c>
    </row>
    <row r="58" spans="1:12" x14ac:dyDescent="0.3">
      <c r="A58" t="s">
        <v>141</v>
      </c>
      <c r="B58" t="s">
        <v>142</v>
      </c>
      <c r="C58" t="s">
        <v>38</v>
      </c>
      <c r="D58" t="s">
        <v>22</v>
      </c>
      <c r="E58" s="2">
        <v>45980</v>
      </c>
      <c r="F58" s="2">
        <v>45980</v>
      </c>
      <c r="G58" s="2">
        <v>46076</v>
      </c>
      <c r="H58">
        <v>12000</v>
      </c>
      <c r="I58" t="s">
        <v>16</v>
      </c>
      <c r="J58" t="s">
        <v>17</v>
      </c>
      <c r="K58" t="s">
        <v>26</v>
      </c>
      <c r="L58">
        <v>12000</v>
      </c>
    </row>
    <row r="59" spans="1:12" x14ac:dyDescent="0.3">
      <c r="A59" t="s">
        <v>143</v>
      </c>
      <c r="B59" t="s">
        <v>144</v>
      </c>
      <c r="C59" t="s">
        <v>21</v>
      </c>
      <c r="D59" t="s">
        <v>30</v>
      </c>
      <c r="E59" s="2">
        <v>46127</v>
      </c>
      <c r="F59" s="2">
        <v>46127</v>
      </c>
      <c r="G59" s="2">
        <v>46237</v>
      </c>
      <c r="H59">
        <v>15000</v>
      </c>
      <c r="I59" t="s">
        <v>16</v>
      </c>
      <c r="J59" t="s">
        <v>17</v>
      </c>
      <c r="K59" t="s">
        <v>18</v>
      </c>
      <c r="L59">
        <v>15000</v>
      </c>
    </row>
    <row r="60" spans="1:12" x14ac:dyDescent="0.3">
      <c r="A60" t="s">
        <v>145</v>
      </c>
      <c r="B60" t="s">
        <v>146</v>
      </c>
      <c r="C60" t="s">
        <v>29</v>
      </c>
      <c r="D60" t="s">
        <v>22</v>
      </c>
      <c r="E60" s="2">
        <v>45759</v>
      </c>
      <c r="F60" s="2">
        <v>45759</v>
      </c>
      <c r="G60" s="2">
        <v>46143</v>
      </c>
      <c r="H60">
        <v>15000</v>
      </c>
      <c r="I60" t="s">
        <v>16</v>
      </c>
      <c r="J60" t="s">
        <v>35</v>
      </c>
      <c r="K60" t="s">
        <v>68</v>
      </c>
      <c r="L60">
        <v>15000</v>
      </c>
    </row>
    <row r="61" spans="1:12" x14ac:dyDescent="0.3">
      <c r="A61" t="s">
        <v>147</v>
      </c>
      <c r="B61" t="s">
        <v>148</v>
      </c>
      <c r="C61" t="s">
        <v>38</v>
      </c>
      <c r="D61" t="s">
        <v>30</v>
      </c>
      <c r="E61" s="2">
        <v>45680</v>
      </c>
      <c r="F61" s="2">
        <v>45680</v>
      </c>
      <c r="G61" s="2">
        <v>45801</v>
      </c>
      <c r="H61">
        <v>10000</v>
      </c>
      <c r="I61" t="s">
        <v>23</v>
      </c>
      <c r="J61" t="s">
        <v>17</v>
      </c>
      <c r="K61" t="s">
        <v>18</v>
      </c>
      <c r="L61">
        <v>10000</v>
      </c>
    </row>
    <row r="62" spans="1:12" x14ac:dyDescent="0.3">
      <c r="A62" t="s">
        <v>149</v>
      </c>
      <c r="B62" t="s">
        <v>150</v>
      </c>
      <c r="C62" t="s">
        <v>14</v>
      </c>
      <c r="D62" t="s">
        <v>30</v>
      </c>
      <c r="E62" s="2">
        <v>45709</v>
      </c>
      <c r="F62" s="2">
        <v>45709</v>
      </c>
      <c r="G62" s="2">
        <v>45999</v>
      </c>
      <c r="H62">
        <v>10000</v>
      </c>
      <c r="I62" t="s">
        <v>16</v>
      </c>
      <c r="J62" t="s">
        <v>35</v>
      </c>
      <c r="K62" t="s">
        <v>31</v>
      </c>
      <c r="L62">
        <v>10000</v>
      </c>
    </row>
    <row r="63" spans="1:12" x14ac:dyDescent="0.3">
      <c r="A63" t="s">
        <v>151</v>
      </c>
      <c r="B63" t="s">
        <v>152</v>
      </c>
      <c r="C63" t="s">
        <v>29</v>
      </c>
      <c r="D63" t="s">
        <v>22</v>
      </c>
      <c r="E63" s="2">
        <v>45810</v>
      </c>
      <c r="F63" s="2">
        <v>45810</v>
      </c>
      <c r="G63" s="2">
        <v>46074</v>
      </c>
      <c r="H63">
        <v>15000</v>
      </c>
      <c r="I63" t="s">
        <v>23</v>
      </c>
      <c r="J63" t="s">
        <v>17</v>
      </c>
      <c r="K63" t="s">
        <v>18</v>
      </c>
      <c r="L63">
        <v>15000</v>
      </c>
    </row>
    <row r="64" spans="1:12" x14ac:dyDescent="0.3">
      <c r="A64" t="s">
        <v>153</v>
      </c>
      <c r="B64" t="s">
        <v>154</v>
      </c>
      <c r="C64" t="s">
        <v>14</v>
      </c>
      <c r="D64" t="s">
        <v>22</v>
      </c>
      <c r="E64" s="2">
        <v>45814</v>
      </c>
      <c r="F64" s="2">
        <v>45814</v>
      </c>
      <c r="G64" s="2">
        <v>46040</v>
      </c>
      <c r="H64">
        <v>10000</v>
      </c>
      <c r="I64" t="s">
        <v>16</v>
      </c>
      <c r="J64" t="s">
        <v>17</v>
      </c>
      <c r="K64" t="s">
        <v>31</v>
      </c>
      <c r="L64">
        <v>10000</v>
      </c>
    </row>
    <row r="65" spans="1:12" x14ac:dyDescent="0.3">
      <c r="A65" t="s">
        <v>155</v>
      </c>
      <c r="B65" t="s">
        <v>156</v>
      </c>
      <c r="C65" t="s">
        <v>38</v>
      </c>
      <c r="D65" t="s">
        <v>30</v>
      </c>
      <c r="E65" s="2">
        <v>45920</v>
      </c>
      <c r="F65" s="2">
        <v>45920</v>
      </c>
      <c r="G65" s="2">
        <v>46128</v>
      </c>
      <c r="H65">
        <v>12000</v>
      </c>
      <c r="I65" t="s">
        <v>23</v>
      </c>
      <c r="J65" t="s">
        <v>17</v>
      </c>
      <c r="K65" t="s">
        <v>31</v>
      </c>
      <c r="L65">
        <v>12000</v>
      </c>
    </row>
    <row r="66" spans="1:12" x14ac:dyDescent="0.3">
      <c r="A66" t="s">
        <v>157</v>
      </c>
      <c r="B66" t="s">
        <v>158</v>
      </c>
      <c r="C66" t="s">
        <v>21</v>
      </c>
      <c r="D66" t="s">
        <v>30</v>
      </c>
      <c r="E66" s="2">
        <v>45870</v>
      </c>
      <c r="F66" s="2">
        <v>45870</v>
      </c>
      <c r="G66" s="2">
        <v>46107</v>
      </c>
      <c r="H66">
        <v>12000</v>
      </c>
      <c r="I66" t="s">
        <v>16</v>
      </c>
      <c r="J66" t="s">
        <v>17</v>
      </c>
      <c r="K66" t="s">
        <v>26</v>
      </c>
      <c r="L66">
        <v>12000</v>
      </c>
    </row>
    <row r="67" spans="1:12" x14ac:dyDescent="0.3">
      <c r="A67" t="s">
        <v>159</v>
      </c>
      <c r="B67" t="s">
        <v>160</v>
      </c>
      <c r="C67" t="s">
        <v>21</v>
      </c>
      <c r="D67" t="s">
        <v>30</v>
      </c>
      <c r="E67" s="2">
        <v>45875</v>
      </c>
      <c r="F67" s="2">
        <v>45875</v>
      </c>
      <c r="G67" s="2">
        <v>46229</v>
      </c>
      <c r="H67">
        <v>15000</v>
      </c>
      <c r="I67" t="s">
        <v>23</v>
      </c>
      <c r="J67" t="s">
        <v>17</v>
      </c>
      <c r="K67" t="s">
        <v>68</v>
      </c>
      <c r="L67">
        <v>15000</v>
      </c>
    </row>
    <row r="68" spans="1:12" x14ac:dyDescent="0.3">
      <c r="A68" t="s">
        <v>161</v>
      </c>
      <c r="B68" t="s">
        <v>162</v>
      </c>
      <c r="C68" t="s">
        <v>38</v>
      </c>
      <c r="D68" t="s">
        <v>30</v>
      </c>
      <c r="E68" s="2">
        <v>46159</v>
      </c>
      <c r="F68" s="2">
        <v>45936</v>
      </c>
      <c r="G68" s="2">
        <v>46154</v>
      </c>
      <c r="H68">
        <v>10000</v>
      </c>
      <c r="I68" t="s">
        <v>16</v>
      </c>
      <c r="J68" t="s">
        <v>17</v>
      </c>
      <c r="K68" t="s">
        <v>18</v>
      </c>
      <c r="L68">
        <v>10000</v>
      </c>
    </row>
    <row r="69" spans="1:12" x14ac:dyDescent="0.3">
      <c r="A69" t="s">
        <v>163</v>
      </c>
      <c r="B69" t="s">
        <v>164</v>
      </c>
      <c r="C69" t="s">
        <v>38</v>
      </c>
      <c r="D69" t="s">
        <v>22</v>
      </c>
      <c r="E69" s="2">
        <v>46041</v>
      </c>
      <c r="F69" s="2">
        <v>46041</v>
      </c>
      <c r="G69" s="2">
        <v>46304</v>
      </c>
      <c r="H69">
        <v>12000</v>
      </c>
      <c r="I69" t="s">
        <v>16</v>
      </c>
      <c r="J69" t="s">
        <v>17</v>
      </c>
      <c r="K69" t="s">
        <v>26</v>
      </c>
      <c r="L69">
        <v>12000</v>
      </c>
    </row>
    <row r="70" spans="1:12" x14ac:dyDescent="0.3">
      <c r="A70" t="s">
        <v>165</v>
      </c>
      <c r="B70" t="s">
        <v>166</v>
      </c>
      <c r="C70" t="s">
        <v>38</v>
      </c>
      <c r="D70" t="s">
        <v>30</v>
      </c>
      <c r="E70" s="2">
        <v>46055</v>
      </c>
      <c r="F70" s="2">
        <v>46055</v>
      </c>
      <c r="G70" s="2">
        <v>46200</v>
      </c>
      <c r="H70">
        <v>8000</v>
      </c>
      <c r="I70" t="s">
        <v>16</v>
      </c>
      <c r="J70" t="s">
        <v>17</v>
      </c>
      <c r="K70" t="s">
        <v>31</v>
      </c>
      <c r="L70">
        <v>8000</v>
      </c>
    </row>
    <row r="71" spans="1:12" x14ac:dyDescent="0.3">
      <c r="A71" t="s">
        <v>167</v>
      </c>
      <c r="B71" t="s">
        <v>168</v>
      </c>
      <c r="C71" t="s">
        <v>29</v>
      </c>
      <c r="D71" t="s">
        <v>30</v>
      </c>
      <c r="E71" s="2">
        <v>46150</v>
      </c>
      <c r="F71" s="2">
        <v>46150</v>
      </c>
      <c r="G71" s="2">
        <v>46247</v>
      </c>
      <c r="H71">
        <v>10000</v>
      </c>
      <c r="I71" t="s">
        <v>23</v>
      </c>
      <c r="J71" t="s">
        <v>35</v>
      </c>
      <c r="K71" t="s">
        <v>26</v>
      </c>
      <c r="L71">
        <v>10000</v>
      </c>
    </row>
    <row r="72" spans="1:12" x14ac:dyDescent="0.3">
      <c r="A72" t="s">
        <v>169</v>
      </c>
      <c r="B72" t="s">
        <v>170</v>
      </c>
      <c r="C72" t="s">
        <v>29</v>
      </c>
      <c r="D72" t="s">
        <v>30</v>
      </c>
      <c r="E72" s="2">
        <v>46115</v>
      </c>
      <c r="F72" s="2">
        <v>46115</v>
      </c>
      <c r="G72" s="2">
        <v>46287</v>
      </c>
      <c r="H72">
        <v>12000</v>
      </c>
      <c r="I72" t="s">
        <v>16</v>
      </c>
      <c r="J72" t="s">
        <v>17</v>
      </c>
      <c r="K72" t="s">
        <v>26</v>
      </c>
      <c r="L72">
        <v>12000</v>
      </c>
    </row>
    <row r="73" spans="1:12" x14ac:dyDescent="0.3">
      <c r="A73" t="s">
        <v>171</v>
      </c>
      <c r="B73" t="s">
        <v>172</v>
      </c>
      <c r="C73" t="s">
        <v>29</v>
      </c>
      <c r="D73" t="s">
        <v>30</v>
      </c>
      <c r="E73" s="2">
        <v>46069</v>
      </c>
      <c r="F73" s="2">
        <v>46069</v>
      </c>
      <c r="G73" s="2">
        <v>46278</v>
      </c>
      <c r="H73">
        <v>18000</v>
      </c>
      <c r="I73" t="s">
        <v>16</v>
      </c>
      <c r="J73" t="s">
        <v>17</v>
      </c>
      <c r="K73" t="s">
        <v>18</v>
      </c>
      <c r="L73">
        <v>18000</v>
      </c>
    </row>
    <row r="74" spans="1:12" x14ac:dyDescent="0.3">
      <c r="A74" t="s">
        <v>173</v>
      </c>
      <c r="B74" t="s">
        <v>174</v>
      </c>
      <c r="C74" t="s">
        <v>14</v>
      </c>
      <c r="D74" t="s">
        <v>22</v>
      </c>
      <c r="E74" s="2">
        <v>45995</v>
      </c>
      <c r="F74" s="2">
        <v>45995</v>
      </c>
      <c r="G74" s="2">
        <v>46233</v>
      </c>
      <c r="H74">
        <v>15000</v>
      </c>
      <c r="I74" t="s">
        <v>23</v>
      </c>
      <c r="J74" t="s">
        <v>35</v>
      </c>
      <c r="K74" t="s">
        <v>68</v>
      </c>
      <c r="L74">
        <v>15000</v>
      </c>
    </row>
    <row r="75" spans="1:12" x14ac:dyDescent="0.3">
      <c r="A75" t="s">
        <v>175</v>
      </c>
      <c r="B75" t="s">
        <v>176</v>
      </c>
      <c r="C75" t="s">
        <v>38</v>
      </c>
      <c r="D75" t="s">
        <v>30</v>
      </c>
      <c r="E75" s="2">
        <v>46172</v>
      </c>
      <c r="F75" s="2">
        <v>46172</v>
      </c>
      <c r="G75" s="2">
        <v>46135</v>
      </c>
      <c r="H75">
        <v>12000</v>
      </c>
      <c r="I75" t="s">
        <v>16</v>
      </c>
      <c r="J75" t="s">
        <v>17</v>
      </c>
      <c r="K75" t="s">
        <v>31</v>
      </c>
      <c r="L75">
        <v>12000</v>
      </c>
    </row>
    <row r="76" spans="1:12" x14ac:dyDescent="0.3">
      <c r="A76" t="s">
        <v>177</v>
      </c>
      <c r="B76" t="s">
        <v>178</v>
      </c>
      <c r="C76" t="s">
        <v>38</v>
      </c>
      <c r="D76" t="s">
        <v>22</v>
      </c>
      <c r="E76" s="2">
        <v>46064</v>
      </c>
      <c r="F76" s="2">
        <v>46064</v>
      </c>
      <c r="G76" s="2">
        <v>46240</v>
      </c>
      <c r="H76">
        <v>12000</v>
      </c>
      <c r="I76" t="s">
        <v>16</v>
      </c>
      <c r="J76" t="s">
        <v>17</v>
      </c>
      <c r="K76" t="s">
        <v>31</v>
      </c>
      <c r="L76">
        <v>12000</v>
      </c>
    </row>
    <row r="77" spans="1:12" x14ac:dyDescent="0.3">
      <c r="A77" t="s">
        <v>179</v>
      </c>
      <c r="B77" t="s">
        <v>180</v>
      </c>
      <c r="C77" t="s">
        <v>29</v>
      </c>
      <c r="D77" t="s">
        <v>22</v>
      </c>
      <c r="E77" s="2">
        <v>46116</v>
      </c>
      <c r="F77" s="2">
        <v>46116</v>
      </c>
      <c r="G77" s="2">
        <v>46237</v>
      </c>
      <c r="H77">
        <v>15000</v>
      </c>
      <c r="I77" t="s">
        <v>16</v>
      </c>
      <c r="J77" t="s">
        <v>35</v>
      </c>
      <c r="K77" t="s">
        <v>68</v>
      </c>
      <c r="L77">
        <v>15000</v>
      </c>
    </row>
    <row r="78" spans="1:12" x14ac:dyDescent="0.3">
      <c r="A78" t="s">
        <v>181</v>
      </c>
      <c r="B78" t="s">
        <v>182</v>
      </c>
      <c r="C78" t="s">
        <v>21</v>
      </c>
      <c r="D78" t="s">
        <v>30</v>
      </c>
      <c r="E78" s="2">
        <v>46135</v>
      </c>
      <c r="F78" s="2">
        <v>46135</v>
      </c>
      <c r="G78" s="2">
        <v>46398</v>
      </c>
      <c r="H78">
        <v>12000</v>
      </c>
      <c r="I78" t="s">
        <v>16</v>
      </c>
      <c r="J78" t="s">
        <v>17</v>
      </c>
      <c r="K78" t="s">
        <v>31</v>
      </c>
      <c r="L78">
        <v>12000</v>
      </c>
    </row>
    <row r="79" spans="1:12" x14ac:dyDescent="0.3">
      <c r="A79" t="s">
        <v>183</v>
      </c>
      <c r="B79" t="s">
        <v>184</v>
      </c>
      <c r="C79" t="s">
        <v>21</v>
      </c>
      <c r="D79" t="s">
        <v>30</v>
      </c>
      <c r="E79" s="2">
        <v>45779</v>
      </c>
      <c r="F79" s="2">
        <v>45779</v>
      </c>
      <c r="G79" s="2">
        <v>46126</v>
      </c>
      <c r="H79">
        <v>15000</v>
      </c>
      <c r="I79" t="s">
        <v>16</v>
      </c>
      <c r="J79" t="s">
        <v>17</v>
      </c>
      <c r="K79" t="s">
        <v>18</v>
      </c>
      <c r="L79">
        <v>15000</v>
      </c>
    </row>
    <row r="80" spans="1:12" x14ac:dyDescent="0.3">
      <c r="A80" t="s">
        <v>185</v>
      </c>
      <c r="B80" t="s">
        <v>186</v>
      </c>
      <c r="C80" t="s">
        <v>21</v>
      </c>
      <c r="D80" t="s">
        <v>30</v>
      </c>
      <c r="E80" s="2">
        <v>45929</v>
      </c>
      <c r="F80" s="2">
        <v>45929</v>
      </c>
      <c r="G80" s="2">
        <v>46238</v>
      </c>
      <c r="H80">
        <v>12000</v>
      </c>
      <c r="I80" t="s">
        <v>16</v>
      </c>
      <c r="J80" t="s">
        <v>35</v>
      </c>
      <c r="K80" t="s">
        <v>26</v>
      </c>
      <c r="L80">
        <v>12000</v>
      </c>
    </row>
    <row r="81" spans="1:12" x14ac:dyDescent="0.3">
      <c r="A81" t="s">
        <v>187</v>
      </c>
      <c r="B81" t="s">
        <v>188</v>
      </c>
      <c r="C81" t="s">
        <v>14</v>
      </c>
      <c r="D81" t="s">
        <v>45</v>
      </c>
      <c r="E81" s="2">
        <v>45783</v>
      </c>
      <c r="F81" s="2">
        <v>45783</v>
      </c>
      <c r="G81" s="2">
        <v>46009</v>
      </c>
      <c r="H81">
        <v>12000</v>
      </c>
      <c r="I81" t="s">
        <v>23</v>
      </c>
      <c r="J81" t="s">
        <v>35</v>
      </c>
      <c r="K81" t="s">
        <v>26</v>
      </c>
      <c r="L81">
        <v>12000</v>
      </c>
    </row>
    <row r="82" spans="1:12" x14ac:dyDescent="0.3">
      <c r="A82" t="s">
        <v>189</v>
      </c>
      <c r="B82" t="s">
        <v>190</v>
      </c>
      <c r="C82" t="s">
        <v>21</v>
      </c>
      <c r="D82" t="s">
        <v>45</v>
      </c>
      <c r="E82" s="2">
        <v>45790</v>
      </c>
      <c r="F82" s="2">
        <v>45790</v>
      </c>
      <c r="G82" s="2">
        <v>46027</v>
      </c>
      <c r="H82">
        <v>10000</v>
      </c>
      <c r="I82" t="s">
        <v>23</v>
      </c>
      <c r="J82" t="s">
        <v>35</v>
      </c>
      <c r="K82" t="s">
        <v>68</v>
      </c>
      <c r="L82">
        <v>10000</v>
      </c>
    </row>
    <row r="83" spans="1:12" x14ac:dyDescent="0.3">
      <c r="A83" t="s">
        <v>191</v>
      </c>
      <c r="B83" t="s">
        <v>192</v>
      </c>
      <c r="C83" t="s">
        <v>38</v>
      </c>
      <c r="D83" t="s">
        <v>22</v>
      </c>
      <c r="E83" s="2">
        <v>45746</v>
      </c>
      <c r="F83" s="2">
        <v>45746</v>
      </c>
      <c r="G83" s="2">
        <v>45931</v>
      </c>
      <c r="H83">
        <v>12000</v>
      </c>
      <c r="I83" t="s">
        <v>23</v>
      </c>
      <c r="J83" t="s">
        <v>35</v>
      </c>
      <c r="K83" t="s">
        <v>26</v>
      </c>
      <c r="L83">
        <v>12000</v>
      </c>
    </row>
    <row r="84" spans="1:12" x14ac:dyDescent="0.3">
      <c r="A84" t="s">
        <v>193</v>
      </c>
      <c r="B84" t="s">
        <v>194</v>
      </c>
      <c r="C84" t="s">
        <v>38</v>
      </c>
      <c r="D84" t="s">
        <v>30</v>
      </c>
      <c r="E84" s="2">
        <v>46115</v>
      </c>
      <c r="F84" s="2">
        <v>46115</v>
      </c>
      <c r="G84" s="2">
        <v>46221</v>
      </c>
      <c r="H84">
        <v>15000</v>
      </c>
      <c r="I84" t="s">
        <v>23</v>
      </c>
      <c r="J84" t="s">
        <v>35</v>
      </c>
      <c r="K84" t="s">
        <v>68</v>
      </c>
      <c r="L84">
        <v>15000</v>
      </c>
    </row>
    <row r="85" spans="1:12" x14ac:dyDescent="0.3">
      <c r="A85" t="s">
        <v>195</v>
      </c>
      <c r="B85" t="s">
        <v>196</v>
      </c>
      <c r="C85" t="s">
        <v>29</v>
      </c>
      <c r="D85" t="s">
        <v>30</v>
      </c>
      <c r="E85" s="2">
        <v>46168</v>
      </c>
      <c r="F85" s="2">
        <v>45992</v>
      </c>
      <c r="G85" s="2">
        <v>46108</v>
      </c>
      <c r="H85">
        <v>18000</v>
      </c>
      <c r="I85" t="s">
        <v>16</v>
      </c>
      <c r="J85" t="s">
        <v>17</v>
      </c>
      <c r="K85" t="s">
        <v>31</v>
      </c>
      <c r="L85">
        <v>18000</v>
      </c>
    </row>
    <row r="86" spans="1:12" x14ac:dyDescent="0.3">
      <c r="A86" t="s">
        <v>197</v>
      </c>
      <c r="B86" t="s">
        <v>198</v>
      </c>
      <c r="C86" t="s">
        <v>21</v>
      </c>
      <c r="D86" t="s">
        <v>22</v>
      </c>
      <c r="E86" s="2">
        <v>45797</v>
      </c>
      <c r="F86" s="2">
        <v>45797</v>
      </c>
      <c r="G86" s="2">
        <v>46063</v>
      </c>
      <c r="H86">
        <v>12000</v>
      </c>
      <c r="I86" t="s">
        <v>16</v>
      </c>
      <c r="J86" t="s">
        <v>35</v>
      </c>
      <c r="K86" t="s">
        <v>68</v>
      </c>
      <c r="L86">
        <v>12000</v>
      </c>
    </row>
    <row r="87" spans="1:12" x14ac:dyDescent="0.3">
      <c r="A87" t="s">
        <v>199</v>
      </c>
      <c r="B87" t="s">
        <v>200</v>
      </c>
      <c r="C87" t="s">
        <v>29</v>
      </c>
      <c r="D87" t="s">
        <v>45</v>
      </c>
      <c r="E87" s="2">
        <v>45700</v>
      </c>
      <c r="F87" s="2">
        <v>45700</v>
      </c>
      <c r="G87" s="2">
        <v>46041</v>
      </c>
      <c r="H87">
        <v>18000</v>
      </c>
      <c r="I87" t="s">
        <v>16</v>
      </c>
      <c r="J87" t="s">
        <v>17</v>
      </c>
      <c r="K87" t="s">
        <v>31</v>
      </c>
      <c r="L87">
        <v>18000</v>
      </c>
    </row>
    <row r="88" spans="1:12" x14ac:dyDescent="0.3">
      <c r="A88" t="s">
        <v>201</v>
      </c>
      <c r="B88" t="s">
        <v>202</v>
      </c>
      <c r="C88" t="s">
        <v>29</v>
      </c>
      <c r="D88" t="s">
        <v>22</v>
      </c>
      <c r="E88" s="2">
        <v>45886</v>
      </c>
      <c r="F88" s="2">
        <v>45886</v>
      </c>
      <c r="G88" s="2">
        <v>45984</v>
      </c>
      <c r="H88">
        <v>10000</v>
      </c>
      <c r="I88" t="s">
        <v>23</v>
      </c>
      <c r="J88" t="s">
        <v>17</v>
      </c>
      <c r="K88" t="s">
        <v>68</v>
      </c>
      <c r="L88">
        <v>10000</v>
      </c>
    </row>
    <row r="89" spans="1:12" x14ac:dyDescent="0.3">
      <c r="A89" t="s">
        <v>203</v>
      </c>
      <c r="B89" t="s">
        <v>204</v>
      </c>
      <c r="C89" t="s">
        <v>14</v>
      </c>
      <c r="D89" t="s">
        <v>45</v>
      </c>
      <c r="E89" s="2">
        <v>46033</v>
      </c>
      <c r="F89" s="2">
        <v>46033</v>
      </c>
      <c r="G89" s="2">
        <v>46354</v>
      </c>
      <c r="H89">
        <v>10000</v>
      </c>
      <c r="I89" t="s">
        <v>23</v>
      </c>
      <c r="J89" t="s">
        <v>17</v>
      </c>
      <c r="K89" t="s">
        <v>18</v>
      </c>
      <c r="L89">
        <v>10000</v>
      </c>
    </row>
    <row r="90" spans="1:12" x14ac:dyDescent="0.3">
      <c r="A90" t="s">
        <v>205</v>
      </c>
      <c r="B90" t="s">
        <v>206</v>
      </c>
      <c r="C90" t="s">
        <v>21</v>
      </c>
      <c r="D90" t="s">
        <v>30</v>
      </c>
      <c r="E90" s="2">
        <v>45866</v>
      </c>
      <c r="F90" s="2">
        <v>45866</v>
      </c>
      <c r="G90" s="2">
        <v>46132</v>
      </c>
      <c r="H90">
        <v>18000</v>
      </c>
      <c r="I90" t="s">
        <v>16</v>
      </c>
      <c r="J90" t="s">
        <v>35</v>
      </c>
      <c r="K90" t="s">
        <v>18</v>
      </c>
      <c r="L90">
        <v>18000</v>
      </c>
    </row>
    <row r="91" spans="1:12" x14ac:dyDescent="0.3">
      <c r="A91" t="s">
        <v>207</v>
      </c>
      <c r="B91" t="s">
        <v>208</v>
      </c>
      <c r="C91" t="s">
        <v>29</v>
      </c>
      <c r="D91" t="s">
        <v>30</v>
      </c>
      <c r="E91" s="2">
        <v>45845</v>
      </c>
      <c r="F91" s="2">
        <v>45845</v>
      </c>
      <c r="G91" s="2">
        <v>46033</v>
      </c>
      <c r="H91">
        <v>8000</v>
      </c>
      <c r="I91" t="s">
        <v>16</v>
      </c>
      <c r="J91" t="s">
        <v>17</v>
      </c>
      <c r="K91" t="s">
        <v>18</v>
      </c>
      <c r="L91">
        <v>8000</v>
      </c>
    </row>
    <row r="92" spans="1:12" x14ac:dyDescent="0.3">
      <c r="A92" t="s">
        <v>209</v>
      </c>
      <c r="B92" t="s">
        <v>210</v>
      </c>
      <c r="C92" t="s">
        <v>38</v>
      </c>
      <c r="D92" t="s">
        <v>45</v>
      </c>
      <c r="E92" s="2">
        <v>45913</v>
      </c>
      <c r="F92" s="2">
        <v>45913</v>
      </c>
      <c r="G92" s="2">
        <v>46018</v>
      </c>
      <c r="H92">
        <v>12000</v>
      </c>
      <c r="I92" t="s">
        <v>23</v>
      </c>
      <c r="J92" t="s">
        <v>35</v>
      </c>
      <c r="K92" t="s">
        <v>18</v>
      </c>
      <c r="L92">
        <v>12000</v>
      </c>
    </row>
    <row r="93" spans="1:12" x14ac:dyDescent="0.3">
      <c r="A93" t="s">
        <v>211</v>
      </c>
      <c r="B93" t="s">
        <v>212</v>
      </c>
      <c r="C93" t="s">
        <v>14</v>
      </c>
      <c r="D93" t="s">
        <v>22</v>
      </c>
      <c r="E93" s="2">
        <v>46133</v>
      </c>
      <c r="F93" s="2">
        <v>46133</v>
      </c>
      <c r="G93" s="2">
        <v>46317</v>
      </c>
      <c r="H93">
        <v>18000</v>
      </c>
      <c r="I93" t="s">
        <v>23</v>
      </c>
      <c r="J93" t="s">
        <v>35</v>
      </c>
      <c r="K93" t="s">
        <v>31</v>
      </c>
      <c r="L93">
        <v>18000</v>
      </c>
    </row>
    <row r="94" spans="1:12" x14ac:dyDescent="0.3">
      <c r="A94" t="s">
        <v>213</v>
      </c>
      <c r="B94" t="s">
        <v>214</v>
      </c>
      <c r="C94" t="s">
        <v>38</v>
      </c>
      <c r="D94" t="s">
        <v>45</v>
      </c>
      <c r="E94" s="2">
        <v>45914</v>
      </c>
      <c r="F94" s="2">
        <v>45914</v>
      </c>
      <c r="G94" s="2">
        <v>46273</v>
      </c>
      <c r="H94">
        <v>10000</v>
      </c>
      <c r="I94" t="s">
        <v>16</v>
      </c>
      <c r="J94" t="s">
        <v>35</v>
      </c>
      <c r="K94" t="s">
        <v>31</v>
      </c>
      <c r="L94">
        <v>10000</v>
      </c>
    </row>
    <row r="95" spans="1:12" x14ac:dyDescent="0.3">
      <c r="A95" t="s">
        <v>215</v>
      </c>
      <c r="B95" t="s">
        <v>216</v>
      </c>
      <c r="C95" t="s">
        <v>14</v>
      </c>
      <c r="D95" t="s">
        <v>45</v>
      </c>
      <c r="E95" s="2">
        <v>45694</v>
      </c>
      <c r="F95" s="2">
        <v>45694</v>
      </c>
      <c r="G95" s="2">
        <v>45977</v>
      </c>
      <c r="H95">
        <v>15000</v>
      </c>
      <c r="I95" t="s">
        <v>23</v>
      </c>
      <c r="J95" t="s">
        <v>17</v>
      </c>
      <c r="K95" t="s">
        <v>68</v>
      </c>
      <c r="L95">
        <v>15000</v>
      </c>
    </row>
    <row r="96" spans="1:12" x14ac:dyDescent="0.3">
      <c r="A96" t="s">
        <v>217</v>
      </c>
      <c r="B96" t="s">
        <v>218</v>
      </c>
      <c r="C96" t="s">
        <v>29</v>
      </c>
      <c r="D96" t="s">
        <v>30</v>
      </c>
      <c r="E96" s="2">
        <v>46058</v>
      </c>
      <c r="F96" s="2">
        <v>46058</v>
      </c>
      <c r="G96" s="2">
        <v>46419</v>
      </c>
      <c r="H96">
        <v>18000</v>
      </c>
      <c r="I96" t="s">
        <v>23</v>
      </c>
      <c r="J96" t="s">
        <v>35</v>
      </c>
      <c r="K96" t="s">
        <v>18</v>
      </c>
      <c r="L96">
        <v>18000</v>
      </c>
    </row>
    <row r="97" spans="1:15" x14ac:dyDescent="0.3">
      <c r="A97" t="s">
        <v>219</v>
      </c>
      <c r="B97" t="s">
        <v>220</v>
      </c>
      <c r="C97" t="s">
        <v>29</v>
      </c>
      <c r="D97" t="s">
        <v>30</v>
      </c>
      <c r="E97" s="2">
        <v>45962</v>
      </c>
      <c r="F97" s="2">
        <v>45962</v>
      </c>
      <c r="G97" s="2">
        <v>46059</v>
      </c>
      <c r="H97">
        <v>10000</v>
      </c>
      <c r="I97" t="s">
        <v>16</v>
      </c>
      <c r="J97" t="s">
        <v>17</v>
      </c>
      <c r="K97" t="s">
        <v>68</v>
      </c>
      <c r="L97">
        <v>10000</v>
      </c>
    </row>
    <row r="98" spans="1:15" x14ac:dyDescent="0.3">
      <c r="A98" t="s">
        <v>221</v>
      </c>
      <c r="B98" t="s">
        <v>222</v>
      </c>
      <c r="C98" t="s">
        <v>29</v>
      </c>
      <c r="D98" t="s">
        <v>22</v>
      </c>
      <c r="E98" s="2">
        <v>46028</v>
      </c>
      <c r="F98" s="2">
        <v>46028</v>
      </c>
      <c r="G98" s="2">
        <v>46173</v>
      </c>
      <c r="H98">
        <v>18000</v>
      </c>
      <c r="I98" t="s">
        <v>16</v>
      </c>
      <c r="J98" t="s">
        <v>17</v>
      </c>
      <c r="K98" t="s">
        <v>68</v>
      </c>
      <c r="L98">
        <v>18000</v>
      </c>
    </row>
    <row r="99" spans="1:15" x14ac:dyDescent="0.3">
      <c r="A99" t="s">
        <v>223</v>
      </c>
      <c r="B99" t="s">
        <v>224</v>
      </c>
      <c r="C99" t="s">
        <v>14</v>
      </c>
      <c r="D99" t="s">
        <v>22</v>
      </c>
      <c r="E99" s="2">
        <v>45745</v>
      </c>
      <c r="F99" s="2">
        <v>45745</v>
      </c>
      <c r="G99" s="2">
        <v>45912</v>
      </c>
      <c r="H99">
        <v>12000</v>
      </c>
      <c r="I99" t="s">
        <v>16</v>
      </c>
      <c r="J99" t="s">
        <v>35</v>
      </c>
      <c r="K99" t="s">
        <v>31</v>
      </c>
      <c r="L99">
        <v>12000</v>
      </c>
    </row>
    <row r="100" spans="1:15" x14ac:dyDescent="0.3">
      <c r="A100" t="s">
        <v>225</v>
      </c>
      <c r="B100" t="s">
        <v>226</v>
      </c>
      <c r="C100" t="s">
        <v>14</v>
      </c>
      <c r="D100" t="s">
        <v>45</v>
      </c>
      <c r="E100" s="2">
        <v>45998</v>
      </c>
      <c r="F100" s="2">
        <v>45998</v>
      </c>
      <c r="G100" s="2">
        <v>46322</v>
      </c>
      <c r="H100">
        <v>12000</v>
      </c>
      <c r="I100" t="s">
        <v>23</v>
      </c>
      <c r="J100" t="s">
        <v>35</v>
      </c>
      <c r="K100" t="s">
        <v>26</v>
      </c>
      <c r="L100">
        <v>12000</v>
      </c>
    </row>
    <row r="101" spans="1:15" x14ac:dyDescent="0.3">
      <c r="A101" t="s">
        <v>227</v>
      </c>
      <c r="B101" t="s">
        <v>228</v>
      </c>
      <c r="C101" t="s">
        <v>21</v>
      </c>
      <c r="D101" t="s">
        <v>30</v>
      </c>
      <c r="E101" s="2">
        <v>46069</v>
      </c>
      <c r="F101" s="2">
        <v>46069</v>
      </c>
      <c r="G101" s="2">
        <v>46256</v>
      </c>
      <c r="H101">
        <v>15000</v>
      </c>
      <c r="I101" t="s">
        <v>23</v>
      </c>
      <c r="J101" t="s">
        <v>35</v>
      </c>
      <c r="K101" t="s">
        <v>26</v>
      </c>
      <c r="L101">
        <v>15000</v>
      </c>
    </row>
    <row r="102" spans="1:15" x14ac:dyDescent="0.3">
      <c r="A102" t="s">
        <v>229</v>
      </c>
      <c r="B102" t="s">
        <v>230</v>
      </c>
      <c r="C102" t="s">
        <v>38</v>
      </c>
      <c r="D102" t="s">
        <v>30</v>
      </c>
      <c r="E102" s="2">
        <v>46147</v>
      </c>
      <c r="F102" s="2">
        <v>45722</v>
      </c>
      <c r="G102" s="2">
        <v>45923</v>
      </c>
      <c r="H102">
        <v>15000</v>
      </c>
      <c r="I102" t="s">
        <v>23</v>
      </c>
      <c r="J102" t="s">
        <v>17</v>
      </c>
      <c r="K102" t="s">
        <v>68</v>
      </c>
      <c r="L102">
        <v>15000</v>
      </c>
    </row>
    <row r="103" spans="1:15" x14ac:dyDescent="0.3">
      <c r="A103" t="s">
        <v>231</v>
      </c>
      <c r="B103" t="s">
        <v>232</v>
      </c>
      <c r="C103" t="s">
        <v>38</v>
      </c>
      <c r="D103" t="s">
        <v>30</v>
      </c>
      <c r="E103" s="2">
        <v>45797</v>
      </c>
      <c r="F103" s="2">
        <v>45797</v>
      </c>
      <c r="G103" s="2">
        <v>46040</v>
      </c>
      <c r="H103">
        <v>12000</v>
      </c>
      <c r="I103" t="s">
        <v>16</v>
      </c>
      <c r="J103" t="s">
        <v>17</v>
      </c>
      <c r="K103" t="s">
        <v>26</v>
      </c>
      <c r="L103">
        <v>12000</v>
      </c>
    </row>
    <row r="104" spans="1:15" x14ac:dyDescent="0.3">
      <c r="A104" t="s">
        <v>233</v>
      </c>
      <c r="B104" t="s">
        <v>234</v>
      </c>
      <c r="C104" t="s">
        <v>38</v>
      </c>
      <c r="D104" t="s">
        <v>45</v>
      </c>
      <c r="E104" s="2">
        <v>45952</v>
      </c>
      <c r="F104" s="2">
        <v>45952</v>
      </c>
      <c r="G104" s="2">
        <v>46186</v>
      </c>
      <c r="H104">
        <v>12000</v>
      </c>
      <c r="I104" t="s">
        <v>23</v>
      </c>
      <c r="J104" t="s">
        <v>17</v>
      </c>
      <c r="K104" t="s">
        <v>18</v>
      </c>
      <c r="L104">
        <v>12000</v>
      </c>
    </row>
    <row r="105" spans="1:15" x14ac:dyDescent="0.3">
      <c r="A105" t="s">
        <v>235</v>
      </c>
      <c r="B105" t="s">
        <v>236</v>
      </c>
      <c r="C105" t="s">
        <v>29</v>
      </c>
      <c r="D105" t="s">
        <v>30</v>
      </c>
      <c r="E105" s="2">
        <v>46103</v>
      </c>
      <c r="F105" s="2">
        <v>46103</v>
      </c>
      <c r="G105" s="2">
        <v>46121</v>
      </c>
      <c r="H105">
        <v>15000</v>
      </c>
      <c r="I105" t="s">
        <v>16</v>
      </c>
      <c r="J105" t="s">
        <v>17</v>
      </c>
      <c r="K105" t="s">
        <v>31</v>
      </c>
      <c r="L105">
        <v>15000</v>
      </c>
    </row>
    <row r="106" spans="1:15" x14ac:dyDescent="0.3">
      <c r="A106" t="s">
        <v>237</v>
      </c>
      <c r="B106" t="s">
        <v>238</v>
      </c>
      <c r="C106" t="s">
        <v>21</v>
      </c>
      <c r="D106" t="s">
        <v>30</v>
      </c>
      <c r="E106" s="2">
        <v>45753</v>
      </c>
      <c r="F106" s="2">
        <v>45753</v>
      </c>
      <c r="G106" s="2">
        <v>46075</v>
      </c>
      <c r="H106">
        <v>10000</v>
      </c>
      <c r="I106" t="s">
        <v>23</v>
      </c>
      <c r="J106" t="s">
        <v>17</v>
      </c>
      <c r="K106" t="s">
        <v>68</v>
      </c>
      <c r="L106">
        <v>10000</v>
      </c>
    </row>
    <row r="107" spans="1:15" x14ac:dyDescent="0.3">
      <c r="A107" t="s">
        <v>239</v>
      </c>
      <c r="B107" t="s">
        <v>240</v>
      </c>
      <c r="C107" t="s">
        <v>14</v>
      </c>
      <c r="D107" t="s">
        <v>22</v>
      </c>
      <c r="E107" s="2">
        <v>45902</v>
      </c>
      <c r="F107" s="2">
        <v>45902</v>
      </c>
      <c r="G107" s="2">
        <v>46039</v>
      </c>
      <c r="H107">
        <v>12000</v>
      </c>
      <c r="I107" t="s">
        <v>23</v>
      </c>
      <c r="J107" t="s">
        <v>35</v>
      </c>
      <c r="K107" t="s">
        <v>18</v>
      </c>
      <c r="L107">
        <v>12000</v>
      </c>
    </row>
    <row r="108" spans="1:15" x14ac:dyDescent="0.3">
      <c r="A108" t="s">
        <v>241</v>
      </c>
      <c r="B108" t="s">
        <v>242</v>
      </c>
      <c r="C108" t="s">
        <v>38</v>
      </c>
      <c r="D108" t="s">
        <v>45</v>
      </c>
      <c r="E108" s="2">
        <v>45937</v>
      </c>
      <c r="F108" s="2">
        <v>45937</v>
      </c>
      <c r="G108" s="2">
        <v>46273</v>
      </c>
      <c r="H108">
        <v>18000</v>
      </c>
      <c r="I108" t="s">
        <v>23</v>
      </c>
      <c r="J108" t="s">
        <v>35</v>
      </c>
      <c r="K108" t="s">
        <v>18</v>
      </c>
      <c r="L108">
        <v>18000</v>
      </c>
      <c r="O108">
        <f>AVERAGE(H2:H199)</f>
        <v>12198.979797979799</v>
      </c>
    </row>
    <row r="109" spans="1:15" x14ac:dyDescent="0.3">
      <c r="A109" t="s">
        <v>243</v>
      </c>
      <c r="B109" t="s">
        <v>244</v>
      </c>
      <c r="C109" t="s">
        <v>14</v>
      </c>
      <c r="D109" t="s">
        <v>22</v>
      </c>
      <c r="E109" s="2">
        <v>46068</v>
      </c>
      <c r="F109" s="2">
        <v>46068</v>
      </c>
      <c r="G109" s="2">
        <v>46185</v>
      </c>
      <c r="H109">
        <v>10000</v>
      </c>
      <c r="I109" t="s">
        <v>16</v>
      </c>
      <c r="J109" t="s">
        <v>17</v>
      </c>
      <c r="K109" t="s">
        <v>26</v>
      </c>
      <c r="L109">
        <v>10000</v>
      </c>
    </row>
    <row r="110" spans="1:15" x14ac:dyDescent="0.3">
      <c r="A110" t="s">
        <v>245</v>
      </c>
      <c r="B110" t="s">
        <v>246</v>
      </c>
      <c r="C110" t="s">
        <v>14</v>
      </c>
      <c r="D110" t="s">
        <v>30</v>
      </c>
      <c r="E110" s="2">
        <v>45788</v>
      </c>
      <c r="F110" s="2">
        <v>45788</v>
      </c>
      <c r="G110" s="2">
        <v>45975</v>
      </c>
      <c r="H110">
        <v>8000</v>
      </c>
      <c r="I110" t="s">
        <v>16</v>
      </c>
      <c r="J110" t="s">
        <v>17</v>
      </c>
      <c r="K110" t="s">
        <v>68</v>
      </c>
      <c r="L110">
        <v>8000</v>
      </c>
    </row>
    <row r="111" spans="1:15" x14ac:dyDescent="0.3">
      <c r="A111" t="s">
        <v>247</v>
      </c>
      <c r="B111" t="s">
        <v>248</v>
      </c>
      <c r="C111" t="s">
        <v>29</v>
      </c>
      <c r="D111" t="s">
        <v>45</v>
      </c>
      <c r="E111" s="2">
        <v>45992</v>
      </c>
      <c r="F111" s="2">
        <v>45992</v>
      </c>
      <c r="G111" s="2">
        <v>46173</v>
      </c>
      <c r="H111">
        <v>15000</v>
      </c>
      <c r="I111" t="s">
        <v>16</v>
      </c>
      <c r="J111" t="s">
        <v>17</v>
      </c>
      <c r="K111" t="s">
        <v>18</v>
      </c>
      <c r="L111">
        <v>15000</v>
      </c>
    </row>
    <row r="112" spans="1:15" x14ac:dyDescent="0.3">
      <c r="A112" t="s">
        <v>249</v>
      </c>
      <c r="B112" t="s">
        <v>250</v>
      </c>
      <c r="C112" t="s">
        <v>14</v>
      </c>
      <c r="D112" t="s">
        <v>30</v>
      </c>
      <c r="E112" s="2">
        <v>46097</v>
      </c>
      <c r="F112" s="2">
        <v>46097</v>
      </c>
      <c r="G112" s="2">
        <v>46211</v>
      </c>
      <c r="H112">
        <v>8000</v>
      </c>
      <c r="I112" t="s">
        <v>23</v>
      </c>
      <c r="J112" t="s">
        <v>17</v>
      </c>
      <c r="K112" t="s">
        <v>31</v>
      </c>
      <c r="L112">
        <v>8000</v>
      </c>
    </row>
    <row r="113" spans="1:12" x14ac:dyDescent="0.3">
      <c r="A113" t="s">
        <v>251</v>
      </c>
      <c r="B113" t="s">
        <v>252</v>
      </c>
      <c r="C113" t="s">
        <v>21</v>
      </c>
      <c r="D113" t="s">
        <v>30</v>
      </c>
      <c r="E113" s="2">
        <v>45948</v>
      </c>
      <c r="F113" s="2">
        <v>45948</v>
      </c>
      <c r="G113" s="2">
        <v>46155</v>
      </c>
      <c r="H113">
        <v>8000</v>
      </c>
      <c r="I113" t="s">
        <v>23</v>
      </c>
      <c r="J113" t="s">
        <v>17</v>
      </c>
      <c r="K113" t="s">
        <v>68</v>
      </c>
      <c r="L113">
        <v>8000</v>
      </c>
    </row>
    <row r="114" spans="1:12" x14ac:dyDescent="0.3">
      <c r="A114" t="s">
        <v>253</v>
      </c>
      <c r="B114" t="s">
        <v>254</v>
      </c>
      <c r="C114" t="s">
        <v>21</v>
      </c>
      <c r="D114" t="s">
        <v>45</v>
      </c>
      <c r="E114" s="2">
        <v>45887</v>
      </c>
      <c r="F114" s="2">
        <v>45887</v>
      </c>
      <c r="G114" s="2">
        <v>46230</v>
      </c>
      <c r="H114">
        <v>15000</v>
      </c>
      <c r="I114" t="s">
        <v>16</v>
      </c>
      <c r="J114" t="s">
        <v>35</v>
      </c>
      <c r="K114" t="s">
        <v>68</v>
      </c>
      <c r="L114">
        <v>15000</v>
      </c>
    </row>
    <row r="115" spans="1:12" x14ac:dyDescent="0.3">
      <c r="A115" t="s">
        <v>255</v>
      </c>
      <c r="B115" t="s">
        <v>256</v>
      </c>
      <c r="C115" t="s">
        <v>29</v>
      </c>
      <c r="D115" t="s">
        <v>45</v>
      </c>
      <c r="E115" s="2">
        <v>45795</v>
      </c>
      <c r="F115" s="2">
        <v>45795</v>
      </c>
      <c r="G115" s="2">
        <v>46021</v>
      </c>
      <c r="H115">
        <v>12199</v>
      </c>
      <c r="I115" t="s">
        <v>16</v>
      </c>
      <c r="J115" t="s">
        <v>35</v>
      </c>
      <c r="K115" t="s">
        <v>26</v>
      </c>
      <c r="L115">
        <v>12199</v>
      </c>
    </row>
    <row r="116" spans="1:12" x14ac:dyDescent="0.3">
      <c r="A116" t="s">
        <v>257</v>
      </c>
      <c r="B116" t="s">
        <v>258</v>
      </c>
      <c r="C116" t="s">
        <v>38</v>
      </c>
      <c r="D116" t="s">
        <v>30</v>
      </c>
      <c r="E116" s="2">
        <v>46095</v>
      </c>
      <c r="F116" s="2">
        <v>46095</v>
      </c>
      <c r="G116" s="2">
        <v>46408</v>
      </c>
      <c r="H116">
        <v>12000</v>
      </c>
      <c r="I116" t="s">
        <v>16</v>
      </c>
      <c r="J116" t="s">
        <v>35</v>
      </c>
      <c r="K116" t="s">
        <v>68</v>
      </c>
      <c r="L116">
        <v>12000</v>
      </c>
    </row>
    <row r="117" spans="1:12" x14ac:dyDescent="0.3">
      <c r="A117" t="s">
        <v>259</v>
      </c>
      <c r="B117" t="s">
        <v>260</v>
      </c>
      <c r="C117" t="s">
        <v>38</v>
      </c>
      <c r="D117" t="s">
        <v>30</v>
      </c>
      <c r="E117" s="2">
        <v>45988</v>
      </c>
      <c r="F117" s="2">
        <v>45988</v>
      </c>
      <c r="G117" s="2">
        <v>46183</v>
      </c>
      <c r="H117">
        <v>8000</v>
      </c>
      <c r="I117" t="s">
        <v>23</v>
      </c>
      <c r="J117" t="s">
        <v>35</v>
      </c>
      <c r="K117" t="s">
        <v>31</v>
      </c>
      <c r="L117">
        <v>8000</v>
      </c>
    </row>
    <row r="118" spans="1:12" x14ac:dyDescent="0.3">
      <c r="A118" t="s">
        <v>261</v>
      </c>
      <c r="B118" t="s">
        <v>262</v>
      </c>
      <c r="C118" t="s">
        <v>21</v>
      </c>
      <c r="D118" t="s">
        <v>30</v>
      </c>
      <c r="E118" s="2">
        <v>45927</v>
      </c>
      <c r="F118" s="2">
        <v>45927</v>
      </c>
      <c r="G118" s="2">
        <v>46177</v>
      </c>
      <c r="H118">
        <v>12000</v>
      </c>
      <c r="I118" t="s">
        <v>16</v>
      </c>
      <c r="J118" t="s">
        <v>17</v>
      </c>
      <c r="K118" t="s">
        <v>68</v>
      </c>
      <c r="L118">
        <v>12000</v>
      </c>
    </row>
    <row r="119" spans="1:12" x14ac:dyDescent="0.3">
      <c r="A119" t="s">
        <v>263</v>
      </c>
      <c r="B119" t="s">
        <v>264</v>
      </c>
      <c r="C119" t="s">
        <v>38</v>
      </c>
      <c r="D119" t="s">
        <v>22</v>
      </c>
      <c r="E119" s="2">
        <v>46166</v>
      </c>
      <c r="F119" s="2">
        <v>46082</v>
      </c>
      <c r="G119" s="2">
        <v>46439</v>
      </c>
      <c r="H119">
        <v>10000</v>
      </c>
      <c r="I119" t="s">
        <v>16</v>
      </c>
      <c r="J119" t="s">
        <v>17</v>
      </c>
      <c r="K119" t="s">
        <v>68</v>
      </c>
      <c r="L119">
        <v>10000</v>
      </c>
    </row>
    <row r="120" spans="1:12" x14ac:dyDescent="0.3">
      <c r="A120" t="s">
        <v>265</v>
      </c>
      <c r="B120" t="s">
        <v>266</v>
      </c>
      <c r="C120" t="s">
        <v>29</v>
      </c>
      <c r="D120" t="s">
        <v>45</v>
      </c>
      <c r="E120" s="2">
        <v>45894</v>
      </c>
      <c r="F120" s="2">
        <v>45894</v>
      </c>
      <c r="G120" s="2">
        <v>46156</v>
      </c>
      <c r="H120">
        <v>8000</v>
      </c>
      <c r="I120" t="s">
        <v>16</v>
      </c>
      <c r="J120" t="s">
        <v>17</v>
      </c>
      <c r="K120" t="s">
        <v>26</v>
      </c>
      <c r="L120">
        <v>8000</v>
      </c>
    </row>
    <row r="121" spans="1:12" x14ac:dyDescent="0.3">
      <c r="A121" t="s">
        <v>267</v>
      </c>
      <c r="B121" t="s">
        <v>268</v>
      </c>
      <c r="C121" t="s">
        <v>21</v>
      </c>
      <c r="D121" t="s">
        <v>22</v>
      </c>
      <c r="E121" s="2">
        <v>45874</v>
      </c>
      <c r="F121" s="2">
        <v>45874</v>
      </c>
      <c r="G121" s="2">
        <v>46206</v>
      </c>
      <c r="H121">
        <v>10000</v>
      </c>
      <c r="I121" t="s">
        <v>16</v>
      </c>
      <c r="J121" t="s">
        <v>17</v>
      </c>
      <c r="K121" t="s">
        <v>18</v>
      </c>
      <c r="L121">
        <v>10000</v>
      </c>
    </row>
    <row r="122" spans="1:12" x14ac:dyDescent="0.3">
      <c r="A122" t="s">
        <v>269</v>
      </c>
      <c r="B122" t="s">
        <v>270</v>
      </c>
      <c r="C122" t="s">
        <v>14</v>
      </c>
      <c r="D122" t="s">
        <v>30</v>
      </c>
      <c r="E122" s="2">
        <v>45958</v>
      </c>
      <c r="F122" s="2">
        <v>45958</v>
      </c>
      <c r="G122" s="2">
        <v>46069</v>
      </c>
      <c r="H122">
        <v>8000</v>
      </c>
      <c r="I122" t="s">
        <v>16</v>
      </c>
      <c r="J122" t="s">
        <v>17</v>
      </c>
      <c r="K122" t="s">
        <v>68</v>
      </c>
      <c r="L122">
        <v>8000</v>
      </c>
    </row>
    <row r="123" spans="1:12" x14ac:dyDescent="0.3">
      <c r="A123" t="s">
        <v>271</v>
      </c>
      <c r="B123" t="s">
        <v>272</v>
      </c>
      <c r="C123" t="s">
        <v>38</v>
      </c>
      <c r="D123" t="s">
        <v>30</v>
      </c>
      <c r="E123" s="2">
        <v>45794</v>
      </c>
      <c r="F123" s="2">
        <v>45794</v>
      </c>
      <c r="G123" s="2">
        <v>46156</v>
      </c>
      <c r="H123">
        <v>12000</v>
      </c>
      <c r="I123" t="s">
        <v>16</v>
      </c>
      <c r="J123" t="s">
        <v>35</v>
      </c>
      <c r="K123" t="s">
        <v>68</v>
      </c>
      <c r="L123">
        <v>12000</v>
      </c>
    </row>
    <row r="124" spans="1:12" x14ac:dyDescent="0.3">
      <c r="A124" t="s">
        <v>273</v>
      </c>
      <c r="B124" t="s">
        <v>274</v>
      </c>
      <c r="C124" t="s">
        <v>38</v>
      </c>
      <c r="D124" t="s">
        <v>30</v>
      </c>
      <c r="E124" s="2">
        <v>45894</v>
      </c>
      <c r="F124" s="2">
        <v>45894</v>
      </c>
      <c r="G124" s="2">
        <v>46257</v>
      </c>
      <c r="H124">
        <v>10000</v>
      </c>
      <c r="I124" t="s">
        <v>16</v>
      </c>
      <c r="J124" t="s">
        <v>35</v>
      </c>
      <c r="K124" t="s">
        <v>26</v>
      </c>
      <c r="L124">
        <v>10000</v>
      </c>
    </row>
    <row r="125" spans="1:12" x14ac:dyDescent="0.3">
      <c r="A125" t="s">
        <v>275</v>
      </c>
      <c r="B125" t="s">
        <v>276</v>
      </c>
      <c r="C125" t="s">
        <v>29</v>
      </c>
      <c r="D125" t="s">
        <v>30</v>
      </c>
      <c r="E125" s="2">
        <v>45795</v>
      </c>
      <c r="F125" s="2">
        <v>45795</v>
      </c>
      <c r="G125" s="2">
        <v>46058</v>
      </c>
      <c r="H125">
        <v>12000</v>
      </c>
      <c r="I125" t="s">
        <v>23</v>
      </c>
      <c r="J125" t="s">
        <v>17</v>
      </c>
      <c r="K125" t="s">
        <v>26</v>
      </c>
      <c r="L125">
        <v>12000</v>
      </c>
    </row>
    <row r="126" spans="1:12" x14ac:dyDescent="0.3">
      <c r="A126" t="s">
        <v>277</v>
      </c>
      <c r="B126" t="s">
        <v>278</v>
      </c>
      <c r="C126" t="s">
        <v>14</v>
      </c>
      <c r="D126" t="s">
        <v>30</v>
      </c>
      <c r="E126" s="2">
        <v>45906</v>
      </c>
      <c r="F126" s="2">
        <v>45906</v>
      </c>
      <c r="G126" s="2">
        <v>46155</v>
      </c>
      <c r="H126">
        <v>15000</v>
      </c>
      <c r="I126" t="s">
        <v>23</v>
      </c>
      <c r="J126" t="s">
        <v>17</v>
      </c>
      <c r="K126" t="s">
        <v>18</v>
      </c>
      <c r="L126">
        <v>15000</v>
      </c>
    </row>
    <row r="127" spans="1:12" x14ac:dyDescent="0.3">
      <c r="A127" t="s">
        <v>279</v>
      </c>
      <c r="B127" t="s">
        <v>280</v>
      </c>
      <c r="C127" t="s">
        <v>29</v>
      </c>
      <c r="D127" t="s">
        <v>30</v>
      </c>
      <c r="E127" s="2">
        <v>45927</v>
      </c>
      <c r="F127" s="2">
        <v>45927</v>
      </c>
      <c r="G127" s="2">
        <v>46239</v>
      </c>
      <c r="H127">
        <v>18000</v>
      </c>
      <c r="I127" t="s">
        <v>16</v>
      </c>
      <c r="J127" t="s">
        <v>35</v>
      </c>
      <c r="K127" t="s">
        <v>26</v>
      </c>
      <c r="L127">
        <v>18000</v>
      </c>
    </row>
    <row r="128" spans="1:12" x14ac:dyDescent="0.3">
      <c r="A128" t="s">
        <v>281</v>
      </c>
      <c r="B128" t="s">
        <v>282</v>
      </c>
      <c r="C128" t="s">
        <v>38</v>
      </c>
      <c r="D128" t="s">
        <v>30</v>
      </c>
      <c r="E128" s="2">
        <v>46171</v>
      </c>
      <c r="F128" s="2">
        <v>46171</v>
      </c>
      <c r="G128" s="2">
        <v>46312</v>
      </c>
      <c r="H128">
        <v>12000</v>
      </c>
      <c r="I128" t="s">
        <v>23</v>
      </c>
      <c r="J128" t="s">
        <v>17</v>
      </c>
      <c r="K128" t="s">
        <v>31</v>
      </c>
      <c r="L128">
        <v>12000</v>
      </c>
    </row>
    <row r="129" spans="1:12" x14ac:dyDescent="0.3">
      <c r="A129" t="s">
        <v>283</v>
      </c>
      <c r="B129" t="s">
        <v>284</v>
      </c>
      <c r="C129" t="s">
        <v>38</v>
      </c>
      <c r="D129" t="s">
        <v>30</v>
      </c>
      <c r="E129" s="2">
        <v>45798</v>
      </c>
      <c r="F129" s="2">
        <v>45798</v>
      </c>
      <c r="G129" s="2">
        <v>46133</v>
      </c>
      <c r="H129">
        <v>8000</v>
      </c>
      <c r="I129" t="s">
        <v>23</v>
      </c>
      <c r="J129" t="s">
        <v>35</v>
      </c>
      <c r="K129" t="s">
        <v>31</v>
      </c>
      <c r="L129">
        <v>8000</v>
      </c>
    </row>
    <row r="130" spans="1:12" x14ac:dyDescent="0.3">
      <c r="A130" t="s">
        <v>285</v>
      </c>
      <c r="B130" t="s">
        <v>286</v>
      </c>
      <c r="C130" t="s">
        <v>29</v>
      </c>
      <c r="D130" t="s">
        <v>30</v>
      </c>
      <c r="E130" s="2">
        <v>46077</v>
      </c>
      <c r="F130" s="2">
        <v>46077</v>
      </c>
      <c r="G130" s="2">
        <v>46208</v>
      </c>
      <c r="H130">
        <v>12000</v>
      </c>
      <c r="I130" t="s">
        <v>23</v>
      </c>
      <c r="J130" t="s">
        <v>35</v>
      </c>
      <c r="K130" t="s">
        <v>31</v>
      </c>
      <c r="L130">
        <v>12000</v>
      </c>
    </row>
    <row r="131" spans="1:12" x14ac:dyDescent="0.3">
      <c r="A131" t="s">
        <v>287</v>
      </c>
      <c r="B131" t="s">
        <v>288</v>
      </c>
      <c r="C131" t="s">
        <v>14</v>
      </c>
      <c r="D131" t="s">
        <v>30</v>
      </c>
      <c r="E131" s="2">
        <v>45812</v>
      </c>
      <c r="F131" s="2">
        <v>45812</v>
      </c>
      <c r="G131" s="2">
        <v>46105</v>
      </c>
      <c r="H131">
        <v>12000</v>
      </c>
      <c r="I131" t="s">
        <v>16</v>
      </c>
      <c r="J131" t="s">
        <v>17</v>
      </c>
      <c r="K131" t="s">
        <v>68</v>
      </c>
      <c r="L131">
        <v>12000</v>
      </c>
    </row>
    <row r="132" spans="1:12" x14ac:dyDescent="0.3">
      <c r="A132" t="s">
        <v>289</v>
      </c>
      <c r="B132" t="s">
        <v>290</v>
      </c>
      <c r="C132" t="s">
        <v>14</v>
      </c>
      <c r="D132" t="s">
        <v>22</v>
      </c>
      <c r="E132" s="2">
        <v>45747</v>
      </c>
      <c r="F132" s="2">
        <v>45747</v>
      </c>
      <c r="G132" s="2">
        <v>46053</v>
      </c>
      <c r="H132">
        <v>10000</v>
      </c>
      <c r="I132" t="s">
        <v>16</v>
      </c>
      <c r="J132" t="s">
        <v>17</v>
      </c>
      <c r="K132" t="s">
        <v>26</v>
      </c>
      <c r="L132">
        <v>10000</v>
      </c>
    </row>
    <row r="133" spans="1:12" x14ac:dyDescent="0.3">
      <c r="A133" t="s">
        <v>291</v>
      </c>
      <c r="B133" t="s">
        <v>292</v>
      </c>
      <c r="C133" t="s">
        <v>14</v>
      </c>
      <c r="D133" t="s">
        <v>30</v>
      </c>
      <c r="E133" s="2">
        <v>45896</v>
      </c>
      <c r="F133" s="2">
        <v>45896</v>
      </c>
      <c r="G133" s="2">
        <v>46122</v>
      </c>
      <c r="H133">
        <v>18000</v>
      </c>
      <c r="I133" t="s">
        <v>23</v>
      </c>
      <c r="J133" t="s">
        <v>17</v>
      </c>
      <c r="K133" t="s">
        <v>18</v>
      </c>
      <c r="L133">
        <v>18000</v>
      </c>
    </row>
    <row r="134" spans="1:12" x14ac:dyDescent="0.3">
      <c r="A134" t="s">
        <v>293</v>
      </c>
      <c r="B134" t="s">
        <v>294</v>
      </c>
      <c r="C134" t="s">
        <v>38</v>
      </c>
      <c r="D134" t="s">
        <v>45</v>
      </c>
      <c r="E134" s="2">
        <v>45752</v>
      </c>
      <c r="F134" s="2">
        <v>45752</v>
      </c>
      <c r="G134" s="2">
        <v>46091</v>
      </c>
      <c r="H134">
        <v>12000</v>
      </c>
      <c r="I134" t="s">
        <v>16</v>
      </c>
      <c r="J134" t="s">
        <v>17</v>
      </c>
      <c r="K134" t="s">
        <v>31</v>
      </c>
      <c r="L134">
        <v>12000</v>
      </c>
    </row>
    <row r="135" spans="1:12" x14ac:dyDescent="0.3">
      <c r="A135" t="s">
        <v>295</v>
      </c>
      <c r="B135" t="s">
        <v>296</v>
      </c>
      <c r="C135" t="s">
        <v>14</v>
      </c>
      <c r="D135" t="s">
        <v>30</v>
      </c>
      <c r="E135" s="2">
        <v>46134</v>
      </c>
      <c r="F135" s="2">
        <v>46134</v>
      </c>
      <c r="G135" s="2">
        <v>46120</v>
      </c>
      <c r="H135">
        <v>12000</v>
      </c>
      <c r="I135" t="s">
        <v>16</v>
      </c>
      <c r="J135" t="s">
        <v>35</v>
      </c>
      <c r="K135" t="s">
        <v>18</v>
      </c>
      <c r="L135">
        <v>12000</v>
      </c>
    </row>
    <row r="136" spans="1:12" x14ac:dyDescent="0.3">
      <c r="A136" t="s">
        <v>297</v>
      </c>
      <c r="B136" t="s">
        <v>298</v>
      </c>
      <c r="C136" t="s">
        <v>14</v>
      </c>
      <c r="D136" t="s">
        <v>30</v>
      </c>
      <c r="E136" s="2">
        <v>46148</v>
      </c>
      <c r="F136" s="2">
        <v>46037</v>
      </c>
      <c r="G136" s="2">
        <v>46343</v>
      </c>
      <c r="H136">
        <v>8000</v>
      </c>
      <c r="I136" t="s">
        <v>23</v>
      </c>
      <c r="J136" t="s">
        <v>17</v>
      </c>
      <c r="K136" t="s">
        <v>68</v>
      </c>
      <c r="L136">
        <v>8000</v>
      </c>
    </row>
    <row r="137" spans="1:12" x14ac:dyDescent="0.3">
      <c r="A137" t="s">
        <v>299</v>
      </c>
      <c r="B137" t="s">
        <v>300</v>
      </c>
      <c r="C137" t="s">
        <v>14</v>
      </c>
      <c r="D137" t="s">
        <v>45</v>
      </c>
      <c r="E137" s="2">
        <v>45948</v>
      </c>
      <c r="F137" s="2">
        <v>45948</v>
      </c>
      <c r="G137" s="2">
        <v>46159</v>
      </c>
      <c r="H137">
        <v>12000</v>
      </c>
      <c r="I137" t="s">
        <v>16</v>
      </c>
      <c r="J137" t="s">
        <v>17</v>
      </c>
      <c r="K137" t="s">
        <v>18</v>
      </c>
      <c r="L137">
        <v>12000</v>
      </c>
    </row>
    <row r="138" spans="1:12" x14ac:dyDescent="0.3">
      <c r="A138" t="s">
        <v>301</v>
      </c>
      <c r="B138" t="s">
        <v>302</v>
      </c>
      <c r="C138" t="s">
        <v>21</v>
      </c>
      <c r="D138" t="s">
        <v>30</v>
      </c>
      <c r="E138" s="2">
        <v>45889</v>
      </c>
      <c r="F138" s="2">
        <v>45889</v>
      </c>
      <c r="G138" s="2">
        <v>46022</v>
      </c>
      <c r="H138">
        <v>8000</v>
      </c>
      <c r="I138" t="s">
        <v>16</v>
      </c>
      <c r="J138" t="s">
        <v>17</v>
      </c>
      <c r="K138" t="s">
        <v>26</v>
      </c>
      <c r="L138">
        <v>8000</v>
      </c>
    </row>
    <row r="139" spans="1:12" x14ac:dyDescent="0.3">
      <c r="A139" t="s">
        <v>303</v>
      </c>
      <c r="B139" t="s">
        <v>304</v>
      </c>
      <c r="C139" t="s">
        <v>29</v>
      </c>
      <c r="D139" t="s">
        <v>30</v>
      </c>
      <c r="E139" s="2">
        <v>46073</v>
      </c>
      <c r="F139" s="2">
        <v>46073</v>
      </c>
      <c r="G139" s="2">
        <v>46424</v>
      </c>
      <c r="H139">
        <v>18000</v>
      </c>
      <c r="I139" t="s">
        <v>16</v>
      </c>
      <c r="J139" t="s">
        <v>35</v>
      </c>
      <c r="K139" t="s">
        <v>31</v>
      </c>
      <c r="L139">
        <v>18000</v>
      </c>
    </row>
    <row r="140" spans="1:12" x14ac:dyDescent="0.3">
      <c r="A140" t="s">
        <v>305</v>
      </c>
      <c r="B140" t="s">
        <v>306</v>
      </c>
      <c r="C140" t="s">
        <v>29</v>
      </c>
      <c r="D140" t="s">
        <v>22</v>
      </c>
      <c r="E140" s="2">
        <v>45811</v>
      </c>
      <c r="F140" s="2">
        <v>45811</v>
      </c>
      <c r="G140" s="2">
        <v>45997</v>
      </c>
      <c r="H140">
        <v>8000</v>
      </c>
      <c r="I140" t="s">
        <v>16</v>
      </c>
      <c r="J140" t="s">
        <v>17</v>
      </c>
      <c r="K140" t="s">
        <v>26</v>
      </c>
      <c r="L140">
        <v>8000</v>
      </c>
    </row>
    <row r="141" spans="1:12" x14ac:dyDescent="0.3">
      <c r="A141" t="s">
        <v>307</v>
      </c>
      <c r="B141" t="s">
        <v>308</v>
      </c>
      <c r="C141" t="s">
        <v>29</v>
      </c>
      <c r="D141" t="s">
        <v>45</v>
      </c>
      <c r="E141" s="2">
        <v>45913</v>
      </c>
      <c r="F141" s="2">
        <v>45913</v>
      </c>
      <c r="G141" s="2">
        <v>46277</v>
      </c>
      <c r="H141">
        <v>12000</v>
      </c>
      <c r="I141" t="s">
        <v>16</v>
      </c>
      <c r="J141" t="s">
        <v>17</v>
      </c>
      <c r="K141" t="s">
        <v>18</v>
      </c>
      <c r="L141">
        <v>12000</v>
      </c>
    </row>
    <row r="142" spans="1:12" x14ac:dyDescent="0.3">
      <c r="A142" t="s">
        <v>309</v>
      </c>
      <c r="B142" t="s">
        <v>310</v>
      </c>
      <c r="C142" t="s">
        <v>14</v>
      </c>
      <c r="D142" t="s">
        <v>30</v>
      </c>
      <c r="E142" s="2">
        <v>46072</v>
      </c>
      <c r="F142" s="2">
        <v>46072</v>
      </c>
      <c r="G142" s="2">
        <v>46167</v>
      </c>
      <c r="H142">
        <v>15000</v>
      </c>
      <c r="I142" t="s">
        <v>16</v>
      </c>
      <c r="J142" t="s">
        <v>35</v>
      </c>
      <c r="K142" t="s">
        <v>68</v>
      </c>
      <c r="L142">
        <v>15000</v>
      </c>
    </row>
    <row r="143" spans="1:12" x14ac:dyDescent="0.3">
      <c r="A143" t="s">
        <v>311</v>
      </c>
      <c r="B143" t="s">
        <v>312</v>
      </c>
      <c r="C143" t="s">
        <v>38</v>
      </c>
      <c r="D143" t="s">
        <v>30</v>
      </c>
      <c r="E143" s="2">
        <v>46039</v>
      </c>
      <c r="F143" s="2">
        <v>46039</v>
      </c>
      <c r="G143" s="2">
        <v>46174</v>
      </c>
      <c r="H143">
        <v>12000</v>
      </c>
      <c r="I143" t="s">
        <v>23</v>
      </c>
      <c r="J143" t="s">
        <v>35</v>
      </c>
      <c r="K143" t="s">
        <v>31</v>
      </c>
      <c r="L143">
        <v>12000</v>
      </c>
    </row>
    <row r="144" spans="1:12" x14ac:dyDescent="0.3">
      <c r="A144" t="s">
        <v>313</v>
      </c>
      <c r="B144" t="s">
        <v>314</v>
      </c>
      <c r="C144" t="s">
        <v>29</v>
      </c>
      <c r="D144" t="s">
        <v>30</v>
      </c>
      <c r="E144" s="2">
        <v>46119</v>
      </c>
      <c r="F144" s="2">
        <v>46119</v>
      </c>
      <c r="G144" s="2">
        <v>46419</v>
      </c>
      <c r="H144">
        <v>8000</v>
      </c>
      <c r="I144" t="s">
        <v>23</v>
      </c>
      <c r="J144" t="s">
        <v>35</v>
      </c>
      <c r="K144" t="s">
        <v>18</v>
      </c>
      <c r="L144">
        <v>8000</v>
      </c>
    </row>
    <row r="145" spans="1:12" x14ac:dyDescent="0.3">
      <c r="A145" t="s">
        <v>315</v>
      </c>
      <c r="B145" t="s">
        <v>316</v>
      </c>
      <c r="C145" t="s">
        <v>14</v>
      </c>
      <c r="D145" t="s">
        <v>30</v>
      </c>
      <c r="E145" s="2">
        <v>45878</v>
      </c>
      <c r="F145" s="2">
        <v>45878</v>
      </c>
      <c r="G145" s="2">
        <v>46036</v>
      </c>
      <c r="H145">
        <v>18000</v>
      </c>
      <c r="I145" t="s">
        <v>16</v>
      </c>
      <c r="J145" t="s">
        <v>17</v>
      </c>
      <c r="K145" t="s">
        <v>31</v>
      </c>
      <c r="L145">
        <v>18000</v>
      </c>
    </row>
    <row r="146" spans="1:12" x14ac:dyDescent="0.3">
      <c r="A146" t="s">
        <v>317</v>
      </c>
      <c r="B146" t="s">
        <v>318</v>
      </c>
      <c r="C146" t="s">
        <v>14</v>
      </c>
      <c r="D146" t="s">
        <v>45</v>
      </c>
      <c r="E146" s="2">
        <v>45982</v>
      </c>
      <c r="F146" s="2">
        <v>45982</v>
      </c>
      <c r="G146" s="2">
        <v>46202</v>
      </c>
      <c r="H146">
        <v>15000</v>
      </c>
      <c r="I146" t="s">
        <v>16</v>
      </c>
      <c r="J146" t="s">
        <v>17</v>
      </c>
      <c r="K146" t="s">
        <v>26</v>
      </c>
      <c r="L146">
        <v>15000</v>
      </c>
    </row>
    <row r="147" spans="1:12" x14ac:dyDescent="0.3">
      <c r="A147" t="s">
        <v>319</v>
      </c>
      <c r="B147" t="s">
        <v>320</v>
      </c>
      <c r="C147" t="s">
        <v>38</v>
      </c>
      <c r="D147" t="s">
        <v>45</v>
      </c>
      <c r="E147" s="2">
        <v>45750</v>
      </c>
      <c r="F147" s="2">
        <v>45750</v>
      </c>
      <c r="G147" s="2">
        <v>45867</v>
      </c>
      <c r="H147">
        <v>18000</v>
      </c>
      <c r="I147" t="s">
        <v>16</v>
      </c>
      <c r="J147" t="s">
        <v>17</v>
      </c>
      <c r="K147" t="s">
        <v>18</v>
      </c>
      <c r="L147">
        <v>18000</v>
      </c>
    </row>
    <row r="148" spans="1:12" x14ac:dyDescent="0.3">
      <c r="A148" t="s">
        <v>321</v>
      </c>
      <c r="B148" t="s">
        <v>322</v>
      </c>
      <c r="C148" t="s">
        <v>14</v>
      </c>
      <c r="D148" t="s">
        <v>30</v>
      </c>
      <c r="E148" s="2">
        <v>45925</v>
      </c>
      <c r="F148" s="2">
        <v>45925</v>
      </c>
      <c r="G148" s="2">
        <v>46219</v>
      </c>
      <c r="H148">
        <v>10000</v>
      </c>
      <c r="I148" t="s">
        <v>23</v>
      </c>
      <c r="J148" t="s">
        <v>35</v>
      </c>
      <c r="K148" t="s">
        <v>31</v>
      </c>
      <c r="L148">
        <v>10000</v>
      </c>
    </row>
    <row r="149" spans="1:12" x14ac:dyDescent="0.3">
      <c r="A149" t="s">
        <v>323</v>
      </c>
      <c r="B149" t="s">
        <v>324</v>
      </c>
      <c r="C149" t="s">
        <v>14</v>
      </c>
      <c r="D149" t="s">
        <v>30</v>
      </c>
      <c r="E149" s="2">
        <v>45818</v>
      </c>
      <c r="F149" s="2">
        <v>45818</v>
      </c>
      <c r="G149" s="2">
        <v>46006</v>
      </c>
      <c r="H149">
        <v>10000</v>
      </c>
      <c r="I149" t="s">
        <v>16</v>
      </c>
      <c r="J149" t="s">
        <v>35</v>
      </c>
      <c r="K149" t="s">
        <v>26</v>
      </c>
      <c r="L149">
        <v>10000</v>
      </c>
    </row>
    <row r="150" spans="1:12" x14ac:dyDescent="0.3">
      <c r="A150" t="s">
        <v>325</v>
      </c>
      <c r="B150" t="s">
        <v>326</v>
      </c>
      <c r="C150" t="s">
        <v>21</v>
      </c>
      <c r="D150" t="s">
        <v>22</v>
      </c>
      <c r="E150" s="2">
        <v>46016</v>
      </c>
      <c r="F150" s="2">
        <v>46016</v>
      </c>
      <c r="G150" s="2">
        <v>46145</v>
      </c>
      <c r="H150">
        <v>18000</v>
      </c>
      <c r="I150" t="s">
        <v>16</v>
      </c>
      <c r="J150" t="s">
        <v>17</v>
      </c>
      <c r="K150" t="s">
        <v>68</v>
      </c>
      <c r="L150">
        <v>18000</v>
      </c>
    </row>
    <row r="151" spans="1:12" x14ac:dyDescent="0.3">
      <c r="A151" t="s">
        <v>327</v>
      </c>
      <c r="B151" t="s">
        <v>328</v>
      </c>
      <c r="C151" t="s">
        <v>29</v>
      </c>
      <c r="D151" t="s">
        <v>30</v>
      </c>
      <c r="E151" s="2">
        <v>45704</v>
      </c>
      <c r="F151" s="2">
        <v>45704</v>
      </c>
      <c r="G151" s="2">
        <v>45927</v>
      </c>
      <c r="H151">
        <v>10000</v>
      </c>
      <c r="I151" t="s">
        <v>16</v>
      </c>
      <c r="J151" t="s">
        <v>17</v>
      </c>
      <c r="K151" t="s">
        <v>68</v>
      </c>
      <c r="L151">
        <v>10000</v>
      </c>
    </row>
    <row r="152" spans="1:12" x14ac:dyDescent="0.3">
      <c r="A152" t="s">
        <v>329</v>
      </c>
      <c r="B152" t="s">
        <v>330</v>
      </c>
      <c r="C152" t="s">
        <v>21</v>
      </c>
      <c r="D152" t="s">
        <v>30</v>
      </c>
      <c r="E152" s="2">
        <v>45837</v>
      </c>
      <c r="F152" s="2">
        <v>45837</v>
      </c>
      <c r="G152" s="2">
        <v>46018</v>
      </c>
      <c r="H152">
        <v>15000</v>
      </c>
      <c r="I152" t="s">
        <v>16</v>
      </c>
      <c r="J152" t="s">
        <v>35</v>
      </c>
      <c r="K152" t="s">
        <v>26</v>
      </c>
      <c r="L152">
        <v>15000</v>
      </c>
    </row>
    <row r="153" spans="1:12" x14ac:dyDescent="0.3">
      <c r="A153" t="s">
        <v>331</v>
      </c>
      <c r="B153" t="s">
        <v>332</v>
      </c>
      <c r="C153" t="s">
        <v>21</v>
      </c>
      <c r="D153" t="s">
        <v>45</v>
      </c>
      <c r="E153" s="2">
        <v>46172</v>
      </c>
      <c r="F153" s="2">
        <v>46008</v>
      </c>
      <c r="G153" s="2">
        <v>46183</v>
      </c>
      <c r="H153">
        <v>18000</v>
      </c>
      <c r="I153" t="s">
        <v>23</v>
      </c>
      <c r="J153" t="s">
        <v>17</v>
      </c>
      <c r="K153" t="s">
        <v>31</v>
      </c>
      <c r="L153">
        <v>18000</v>
      </c>
    </row>
    <row r="154" spans="1:12" x14ac:dyDescent="0.3">
      <c r="A154" t="s">
        <v>333</v>
      </c>
      <c r="B154" t="s">
        <v>334</v>
      </c>
      <c r="C154" t="s">
        <v>38</v>
      </c>
      <c r="D154" t="s">
        <v>22</v>
      </c>
      <c r="E154" s="2">
        <v>46032</v>
      </c>
      <c r="F154" s="2">
        <v>46032</v>
      </c>
      <c r="G154" s="2">
        <v>46187</v>
      </c>
      <c r="H154">
        <v>12000</v>
      </c>
      <c r="I154" t="s">
        <v>23</v>
      </c>
      <c r="J154" t="s">
        <v>35</v>
      </c>
      <c r="K154" t="s">
        <v>18</v>
      </c>
      <c r="L154">
        <v>12000</v>
      </c>
    </row>
    <row r="155" spans="1:12" x14ac:dyDescent="0.3">
      <c r="A155" t="s">
        <v>335</v>
      </c>
      <c r="B155" t="s">
        <v>336</v>
      </c>
      <c r="C155" t="s">
        <v>29</v>
      </c>
      <c r="D155" t="s">
        <v>30</v>
      </c>
      <c r="E155" s="2">
        <v>45827</v>
      </c>
      <c r="F155" s="2">
        <v>45827</v>
      </c>
      <c r="G155" s="2">
        <v>46102</v>
      </c>
      <c r="H155">
        <v>12000</v>
      </c>
      <c r="I155" t="s">
        <v>16</v>
      </c>
      <c r="J155" t="s">
        <v>17</v>
      </c>
      <c r="K155" t="s">
        <v>31</v>
      </c>
      <c r="L155">
        <v>12000</v>
      </c>
    </row>
    <row r="156" spans="1:12" x14ac:dyDescent="0.3">
      <c r="A156" t="s">
        <v>337</v>
      </c>
      <c r="B156" t="s">
        <v>338</v>
      </c>
      <c r="C156" t="s">
        <v>21</v>
      </c>
      <c r="D156" t="s">
        <v>22</v>
      </c>
      <c r="E156" s="2">
        <v>46079</v>
      </c>
      <c r="F156" s="2">
        <v>46079</v>
      </c>
      <c r="G156" s="2">
        <v>46426</v>
      </c>
      <c r="H156">
        <v>12000</v>
      </c>
      <c r="I156" t="s">
        <v>23</v>
      </c>
      <c r="J156" t="s">
        <v>35</v>
      </c>
      <c r="K156" t="s">
        <v>31</v>
      </c>
      <c r="L156">
        <v>12000</v>
      </c>
    </row>
    <row r="157" spans="1:12" x14ac:dyDescent="0.3">
      <c r="A157" t="s">
        <v>339</v>
      </c>
      <c r="B157" t="s">
        <v>340</v>
      </c>
      <c r="C157" t="s">
        <v>14</v>
      </c>
      <c r="D157" t="s">
        <v>30</v>
      </c>
      <c r="E157" s="2">
        <v>46139</v>
      </c>
      <c r="F157" s="2">
        <v>46139</v>
      </c>
      <c r="G157" s="2">
        <v>46398</v>
      </c>
      <c r="H157">
        <v>8000</v>
      </c>
      <c r="I157" t="s">
        <v>16</v>
      </c>
      <c r="J157" t="s">
        <v>17</v>
      </c>
      <c r="K157" t="s">
        <v>26</v>
      </c>
      <c r="L157">
        <v>8000</v>
      </c>
    </row>
    <row r="158" spans="1:12" x14ac:dyDescent="0.3">
      <c r="A158" t="s">
        <v>341</v>
      </c>
      <c r="B158" t="s">
        <v>342</v>
      </c>
      <c r="C158" t="s">
        <v>21</v>
      </c>
      <c r="D158" t="s">
        <v>30</v>
      </c>
      <c r="E158" s="2">
        <v>45929</v>
      </c>
      <c r="F158" s="2">
        <v>45929</v>
      </c>
      <c r="G158" s="2">
        <v>46050</v>
      </c>
      <c r="H158">
        <v>12000</v>
      </c>
      <c r="I158" t="s">
        <v>23</v>
      </c>
      <c r="J158" t="s">
        <v>17</v>
      </c>
      <c r="K158" t="s">
        <v>68</v>
      </c>
      <c r="L158">
        <v>12000</v>
      </c>
    </row>
    <row r="159" spans="1:12" x14ac:dyDescent="0.3">
      <c r="A159" t="s">
        <v>343</v>
      </c>
      <c r="B159" t="s">
        <v>344</v>
      </c>
      <c r="C159" t="s">
        <v>38</v>
      </c>
      <c r="D159" t="s">
        <v>30</v>
      </c>
      <c r="E159" s="2">
        <v>46003</v>
      </c>
      <c r="F159" s="2">
        <v>46003</v>
      </c>
      <c r="G159" s="2">
        <v>46286</v>
      </c>
      <c r="H159">
        <v>12000</v>
      </c>
      <c r="I159" t="s">
        <v>23</v>
      </c>
      <c r="J159" t="s">
        <v>35</v>
      </c>
      <c r="K159" t="s">
        <v>31</v>
      </c>
      <c r="L159">
        <v>12000</v>
      </c>
    </row>
    <row r="160" spans="1:12" x14ac:dyDescent="0.3">
      <c r="A160" t="s">
        <v>345</v>
      </c>
      <c r="B160" t="s">
        <v>346</v>
      </c>
      <c r="C160" t="s">
        <v>29</v>
      </c>
      <c r="D160" t="s">
        <v>30</v>
      </c>
      <c r="E160" s="2">
        <v>46111</v>
      </c>
      <c r="F160" s="2">
        <v>46111</v>
      </c>
      <c r="G160" s="2">
        <v>46460</v>
      </c>
      <c r="H160">
        <v>18000</v>
      </c>
      <c r="I160" t="s">
        <v>16</v>
      </c>
      <c r="J160" t="s">
        <v>35</v>
      </c>
      <c r="K160" t="s">
        <v>26</v>
      </c>
      <c r="L160">
        <v>18000</v>
      </c>
    </row>
    <row r="161" spans="1:12" x14ac:dyDescent="0.3">
      <c r="A161" t="s">
        <v>347</v>
      </c>
      <c r="B161" t="s">
        <v>348</v>
      </c>
      <c r="C161" t="s">
        <v>21</v>
      </c>
      <c r="D161" t="s">
        <v>22</v>
      </c>
      <c r="E161" s="2">
        <v>46021</v>
      </c>
      <c r="F161" s="2">
        <v>46021</v>
      </c>
      <c r="G161" s="2">
        <v>46234</v>
      </c>
      <c r="H161">
        <v>18000</v>
      </c>
      <c r="I161" t="s">
        <v>16</v>
      </c>
      <c r="J161" t="s">
        <v>35</v>
      </c>
      <c r="K161" t="s">
        <v>18</v>
      </c>
      <c r="L161">
        <v>18000</v>
      </c>
    </row>
    <row r="162" spans="1:12" x14ac:dyDescent="0.3">
      <c r="A162" t="s">
        <v>349</v>
      </c>
      <c r="B162" t="s">
        <v>350</v>
      </c>
      <c r="C162" t="s">
        <v>29</v>
      </c>
      <c r="D162" t="s">
        <v>30</v>
      </c>
      <c r="E162" s="2">
        <v>45805</v>
      </c>
      <c r="F162" s="2">
        <v>45805</v>
      </c>
      <c r="G162" s="2">
        <v>45921</v>
      </c>
      <c r="H162">
        <v>12000</v>
      </c>
      <c r="I162" t="s">
        <v>23</v>
      </c>
      <c r="J162" t="s">
        <v>17</v>
      </c>
      <c r="K162" t="s">
        <v>68</v>
      </c>
      <c r="L162">
        <v>12000</v>
      </c>
    </row>
    <row r="163" spans="1:12" x14ac:dyDescent="0.3">
      <c r="A163" t="s">
        <v>351</v>
      </c>
      <c r="B163" t="s">
        <v>352</v>
      </c>
      <c r="C163" t="s">
        <v>14</v>
      </c>
      <c r="D163" t="s">
        <v>30</v>
      </c>
      <c r="E163" s="2">
        <v>45745</v>
      </c>
      <c r="F163" s="2">
        <v>45745</v>
      </c>
      <c r="G163" s="2">
        <v>46027</v>
      </c>
      <c r="H163">
        <v>12000</v>
      </c>
      <c r="I163" t="s">
        <v>23</v>
      </c>
      <c r="J163" t="s">
        <v>17</v>
      </c>
      <c r="K163" t="s">
        <v>26</v>
      </c>
      <c r="L163">
        <v>12000</v>
      </c>
    </row>
    <row r="164" spans="1:12" x14ac:dyDescent="0.3">
      <c r="A164" t="s">
        <v>353</v>
      </c>
      <c r="B164" t="s">
        <v>354</v>
      </c>
      <c r="C164" t="s">
        <v>21</v>
      </c>
      <c r="D164" t="s">
        <v>30</v>
      </c>
      <c r="E164" s="2">
        <v>45814</v>
      </c>
      <c r="F164" s="2">
        <v>45814</v>
      </c>
      <c r="G164" s="2">
        <v>45941</v>
      </c>
      <c r="H164">
        <v>12000</v>
      </c>
      <c r="I164" t="s">
        <v>16</v>
      </c>
      <c r="J164" t="s">
        <v>17</v>
      </c>
      <c r="K164" t="s">
        <v>68</v>
      </c>
      <c r="L164">
        <v>12000</v>
      </c>
    </row>
    <row r="165" spans="1:12" x14ac:dyDescent="0.3">
      <c r="A165" t="s">
        <v>355</v>
      </c>
      <c r="B165" t="s">
        <v>356</v>
      </c>
      <c r="C165" t="s">
        <v>38</v>
      </c>
      <c r="D165" t="s">
        <v>30</v>
      </c>
      <c r="E165" s="2">
        <v>45756</v>
      </c>
      <c r="F165" s="2">
        <v>45756</v>
      </c>
      <c r="G165" s="2">
        <v>46167</v>
      </c>
      <c r="H165">
        <v>12000</v>
      </c>
      <c r="I165" t="s">
        <v>16</v>
      </c>
      <c r="J165" t="s">
        <v>35</v>
      </c>
      <c r="K165" t="s">
        <v>68</v>
      </c>
      <c r="L165">
        <v>12000</v>
      </c>
    </row>
    <row r="166" spans="1:12" x14ac:dyDescent="0.3">
      <c r="A166" t="s">
        <v>357</v>
      </c>
      <c r="B166" t="s">
        <v>358</v>
      </c>
      <c r="C166" t="s">
        <v>21</v>
      </c>
      <c r="D166" t="s">
        <v>30</v>
      </c>
      <c r="E166" s="2">
        <v>45679</v>
      </c>
      <c r="F166" s="2">
        <v>45679</v>
      </c>
      <c r="G166" s="2">
        <v>45969</v>
      </c>
      <c r="H166">
        <v>8000</v>
      </c>
      <c r="I166" t="s">
        <v>23</v>
      </c>
      <c r="J166" t="s">
        <v>17</v>
      </c>
      <c r="K166" t="s">
        <v>31</v>
      </c>
      <c r="L166">
        <v>8000</v>
      </c>
    </row>
    <row r="167" spans="1:12" x14ac:dyDescent="0.3">
      <c r="A167" t="s">
        <v>359</v>
      </c>
      <c r="B167" t="s">
        <v>360</v>
      </c>
      <c r="C167" t="s">
        <v>14</v>
      </c>
      <c r="D167" t="s">
        <v>30</v>
      </c>
      <c r="E167" s="2">
        <v>46085</v>
      </c>
      <c r="F167" s="2">
        <v>46085</v>
      </c>
      <c r="G167" s="2">
        <v>46309</v>
      </c>
      <c r="H167">
        <v>10000</v>
      </c>
      <c r="I167" t="s">
        <v>16</v>
      </c>
      <c r="J167" t="s">
        <v>35</v>
      </c>
      <c r="K167" t="s">
        <v>18</v>
      </c>
      <c r="L167">
        <v>10000</v>
      </c>
    </row>
    <row r="168" spans="1:12" x14ac:dyDescent="0.3">
      <c r="A168" t="s">
        <v>361</v>
      </c>
      <c r="B168" t="s">
        <v>362</v>
      </c>
      <c r="C168" t="s">
        <v>29</v>
      </c>
      <c r="D168" t="s">
        <v>45</v>
      </c>
      <c r="E168" s="2">
        <v>45942</v>
      </c>
      <c r="F168" s="2">
        <v>45942</v>
      </c>
      <c r="G168" s="2">
        <v>46278</v>
      </c>
      <c r="H168">
        <v>8000</v>
      </c>
      <c r="I168" t="s">
        <v>23</v>
      </c>
      <c r="J168" t="s">
        <v>35</v>
      </c>
      <c r="K168" t="s">
        <v>26</v>
      </c>
      <c r="L168">
        <v>8000</v>
      </c>
    </row>
    <row r="169" spans="1:12" x14ac:dyDescent="0.3">
      <c r="A169" t="s">
        <v>363</v>
      </c>
      <c r="B169" t="s">
        <v>364</v>
      </c>
      <c r="C169" t="s">
        <v>21</v>
      </c>
      <c r="D169" t="s">
        <v>22</v>
      </c>
      <c r="E169" s="2">
        <v>46038</v>
      </c>
      <c r="F169" s="2">
        <v>46038</v>
      </c>
      <c r="G169" s="2">
        <v>46141</v>
      </c>
      <c r="H169">
        <v>12000</v>
      </c>
      <c r="I169" t="s">
        <v>16</v>
      </c>
      <c r="J169" t="s">
        <v>35</v>
      </c>
      <c r="K169" t="s">
        <v>31</v>
      </c>
      <c r="L169">
        <v>12000</v>
      </c>
    </row>
    <row r="170" spans="1:12" x14ac:dyDescent="0.3">
      <c r="A170" t="s">
        <v>365</v>
      </c>
      <c r="B170" t="s">
        <v>366</v>
      </c>
      <c r="C170" t="s">
        <v>29</v>
      </c>
      <c r="D170" t="s">
        <v>45</v>
      </c>
      <c r="E170" s="2">
        <v>46166</v>
      </c>
      <c r="F170" s="2">
        <v>45898</v>
      </c>
      <c r="G170" s="2">
        <v>46125</v>
      </c>
      <c r="H170">
        <v>8000</v>
      </c>
      <c r="I170" t="s">
        <v>23</v>
      </c>
      <c r="J170" t="s">
        <v>17</v>
      </c>
      <c r="K170" t="s">
        <v>31</v>
      </c>
      <c r="L170">
        <v>8000</v>
      </c>
    </row>
    <row r="171" spans="1:12" x14ac:dyDescent="0.3">
      <c r="A171" t="s">
        <v>367</v>
      </c>
      <c r="B171" t="s">
        <v>368</v>
      </c>
      <c r="C171" t="s">
        <v>21</v>
      </c>
      <c r="D171" t="s">
        <v>30</v>
      </c>
      <c r="E171" s="2">
        <v>46112</v>
      </c>
      <c r="F171" s="2">
        <v>46112</v>
      </c>
      <c r="G171" s="2">
        <v>46360</v>
      </c>
      <c r="H171">
        <v>15000</v>
      </c>
      <c r="I171" t="s">
        <v>16</v>
      </c>
      <c r="J171" t="s">
        <v>35</v>
      </c>
      <c r="K171" t="s">
        <v>31</v>
      </c>
      <c r="L171">
        <v>15000</v>
      </c>
    </row>
    <row r="172" spans="1:12" x14ac:dyDescent="0.3">
      <c r="A172" t="s">
        <v>369</v>
      </c>
      <c r="B172" t="s">
        <v>370</v>
      </c>
      <c r="C172" t="s">
        <v>29</v>
      </c>
      <c r="D172" t="s">
        <v>30</v>
      </c>
      <c r="E172" s="2">
        <v>45703</v>
      </c>
      <c r="F172" s="2">
        <v>45703</v>
      </c>
      <c r="G172" s="2">
        <v>45828</v>
      </c>
      <c r="H172">
        <v>18000</v>
      </c>
      <c r="I172" t="s">
        <v>16</v>
      </c>
      <c r="J172" t="s">
        <v>17</v>
      </c>
      <c r="K172" t="s">
        <v>31</v>
      </c>
      <c r="L172">
        <v>18000</v>
      </c>
    </row>
    <row r="173" spans="1:12" x14ac:dyDescent="0.3">
      <c r="A173" t="s">
        <v>371</v>
      </c>
      <c r="B173" t="s">
        <v>372</v>
      </c>
      <c r="C173" t="s">
        <v>14</v>
      </c>
      <c r="D173" t="s">
        <v>30</v>
      </c>
      <c r="E173" s="2">
        <v>45866</v>
      </c>
      <c r="F173" s="2">
        <v>45866</v>
      </c>
      <c r="G173" s="2">
        <v>46090</v>
      </c>
      <c r="H173">
        <v>12000</v>
      </c>
      <c r="I173" t="s">
        <v>23</v>
      </c>
      <c r="J173" t="s">
        <v>17</v>
      </c>
      <c r="K173" t="s">
        <v>68</v>
      </c>
      <c r="L173">
        <v>12000</v>
      </c>
    </row>
    <row r="174" spans="1:12" x14ac:dyDescent="0.3">
      <c r="A174" t="s">
        <v>373</v>
      </c>
      <c r="B174" t="s">
        <v>374</v>
      </c>
      <c r="C174" t="s">
        <v>29</v>
      </c>
      <c r="D174" t="s">
        <v>30</v>
      </c>
      <c r="E174" s="2">
        <v>46017</v>
      </c>
      <c r="F174" s="2">
        <v>46017</v>
      </c>
      <c r="G174" s="2">
        <v>46373</v>
      </c>
      <c r="H174">
        <v>18000</v>
      </c>
      <c r="I174" t="s">
        <v>23</v>
      </c>
      <c r="J174" t="s">
        <v>35</v>
      </c>
      <c r="K174" t="s">
        <v>68</v>
      </c>
      <c r="L174">
        <v>18000</v>
      </c>
    </row>
    <row r="175" spans="1:12" x14ac:dyDescent="0.3">
      <c r="A175" t="s">
        <v>375</v>
      </c>
      <c r="B175" t="s">
        <v>376</v>
      </c>
      <c r="C175" t="s">
        <v>14</v>
      </c>
      <c r="D175" t="s">
        <v>45</v>
      </c>
      <c r="E175" s="2">
        <v>45837</v>
      </c>
      <c r="F175" s="2">
        <v>45837</v>
      </c>
      <c r="G175" s="2">
        <v>46164</v>
      </c>
      <c r="H175">
        <v>10000</v>
      </c>
      <c r="I175" t="s">
        <v>23</v>
      </c>
      <c r="J175" t="s">
        <v>17</v>
      </c>
      <c r="K175" t="s">
        <v>18</v>
      </c>
      <c r="L175">
        <v>10000</v>
      </c>
    </row>
    <row r="176" spans="1:12" x14ac:dyDescent="0.3">
      <c r="A176" t="s">
        <v>377</v>
      </c>
      <c r="B176" t="s">
        <v>378</v>
      </c>
      <c r="C176" t="s">
        <v>14</v>
      </c>
      <c r="D176" t="s">
        <v>45</v>
      </c>
      <c r="E176" s="2">
        <v>45929</v>
      </c>
      <c r="F176" s="2">
        <v>45929</v>
      </c>
      <c r="G176" s="2">
        <v>46133</v>
      </c>
      <c r="H176">
        <v>10000</v>
      </c>
      <c r="I176" t="s">
        <v>23</v>
      </c>
      <c r="J176" t="s">
        <v>17</v>
      </c>
      <c r="K176" t="s">
        <v>68</v>
      </c>
      <c r="L176">
        <v>10000</v>
      </c>
    </row>
    <row r="177" spans="1:15" x14ac:dyDescent="0.3">
      <c r="A177" t="s">
        <v>379</v>
      </c>
      <c r="B177" t="s">
        <v>380</v>
      </c>
      <c r="C177" t="s">
        <v>14</v>
      </c>
      <c r="D177" t="s">
        <v>45</v>
      </c>
      <c r="E177" s="2">
        <v>45690</v>
      </c>
      <c r="F177" s="2">
        <v>45690</v>
      </c>
      <c r="G177" s="2">
        <v>45863</v>
      </c>
      <c r="H177">
        <v>8000</v>
      </c>
      <c r="I177" t="s">
        <v>16</v>
      </c>
      <c r="J177" t="s">
        <v>17</v>
      </c>
      <c r="K177" t="s">
        <v>31</v>
      </c>
      <c r="L177">
        <v>8000</v>
      </c>
    </row>
    <row r="178" spans="1:15" x14ac:dyDescent="0.3">
      <c r="A178" t="s">
        <v>381</v>
      </c>
      <c r="B178" t="s">
        <v>382</v>
      </c>
      <c r="C178" t="s">
        <v>14</v>
      </c>
      <c r="D178" t="s">
        <v>30</v>
      </c>
      <c r="E178" s="2">
        <v>45787</v>
      </c>
      <c r="F178" s="2">
        <v>45787</v>
      </c>
      <c r="G178" s="2">
        <v>45954</v>
      </c>
      <c r="H178">
        <v>12000</v>
      </c>
      <c r="I178" t="s">
        <v>23</v>
      </c>
      <c r="J178" t="s">
        <v>17</v>
      </c>
      <c r="K178" t="s">
        <v>68</v>
      </c>
      <c r="L178">
        <v>12000</v>
      </c>
    </row>
    <row r="179" spans="1:15" x14ac:dyDescent="0.3">
      <c r="A179" t="s">
        <v>383</v>
      </c>
      <c r="B179" t="s">
        <v>384</v>
      </c>
      <c r="C179" t="s">
        <v>29</v>
      </c>
      <c r="D179" t="s">
        <v>22</v>
      </c>
      <c r="E179" s="2">
        <v>45812</v>
      </c>
      <c r="F179" s="2">
        <v>45812</v>
      </c>
      <c r="G179" s="2">
        <v>45994</v>
      </c>
      <c r="H179">
        <v>12000</v>
      </c>
      <c r="I179" t="s">
        <v>16</v>
      </c>
      <c r="J179" t="s">
        <v>17</v>
      </c>
      <c r="K179" t="s">
        <v>31</v>
      </c>
      <c r="L179">
        <v>12000</v>
      </c>
    </row>
    <row r="180" spans="1:15" x14ac:dyDescent="0.3">
      <c r="A180" t="s">
        <v>385</v>
      </c>
      <c r="B180" t="s">
        <v>386</v>
      </c>
      <c r="C180" t="s">
        <v>21</v>
      </c>
      <c r="D180" t="s">
        <v>45</v>
      </c>
      <c r="E180" s="2">
        <v>46017</v>
      </c>
      <c r="F180" s="2">
        <v>46017</v>
      </c>
      <c r="G180" s="2">
        <v>46168</v>
      </c>
      <c r="H180">
        <v>10000</v>
      </c>
      <c r="I180" t="s">
        <v>16</v>
      </c>
      <c r="J180" t="s">
        <v>35</v>
      </c>
      <c r="K180" t="s">
        <v>26</v>
      </c>
      <c r="L180">
        <v>10000</v>
      </c>
    </row>
    <row r="181" spans="1:15" x14ac:dyDescent="0.3">
      <c r="A181" t="s">
        <v>387</v>
      </c>
      <c r="B181" t="s">
        <v>388</v>
      </c>
      <c r="C181" t="s">
        <v>38</v>
      </c>
      <c r="D181" t="s">
        <v>30</v>
      </c>
      <c r="E181" s="2">
        <v>45784</v>
      </c>
      <c r="F181" s="2">
        <v>45784</v>
      </c>
      <c r="G181" s="2">
        <v>46135</v>
      </c>
      <c r="H181">
        <v>15000</v>
      </c>
      <c r="I181" t="s">
        <v>23</v>
      </c>
      <c r="J181" t="s">
        <v>17</v>
      </c>
      <c r="K181" t="s">
        <v>31</v>
      </c>
      <c r="L181">
        <v>15000</v>
      </c>
    </row>
    <row r="182" spans="1:15" x14ac:dyDescent="0.3">
      <c r="A182" t="s">
        <v>389</v>
      </c>
      <c r="B182" t="s">
        <v>390</v>
      </c>
      <c r="C182" t="s">
        <v>21</v>
      </c>
      <c r="D182" t="s">
        <v>30</v>
      </c>
      <c r="E182" s="2">
        <v>45746</v>
      </c>
      <c r="F182" s="2">
        <v>45746</v>
      </c>
      <c r="G182" s="2">
        <v>45955</v>
      </c>
      <c r="H182">
        <v>10000</v>
      </c>
      <c r="I182" t="s">
        <v>16</v>
      </c>
      <c r="J182" t="s">
        <v>35</v>
      </c>
      <c r="K182" t="s">
        <v>26</v>
      </c>
      <c r="L182">
        <v>10000</v>
      </c>
      <c r="O182" s="25"/>
    </row>
    <row r="183" spans="1:15" x14ac:dyDescent="0.3">
      <c r="A183" t="s">
        <v>391</v>
      </c>
      <c r="B183" t="s">
        <v>392</v>
      </c>
      <c r="C183" t="s">
        <v>21</v>
      </c>
      <c r="D183" t="s">
        <v>30</v>
      </c>
      <c r="E183" s="2">
        <v>45858</v>
      </c>
      <c r="F183" s="2">
        <v>45858</v>
      </c>
      <c r="G183" s="2">
        <v>46145</v>
      </c>
      <c r="H183">
        <v>12000</v>
      </c>
      <c r="I183" t="s">
        <v>16</v>
      </c>
      <c r="J183" t="s">
        <v>17</v>
      </c>
      <c r="K183" t="s">
        <v>31</v>
      </c>
      <c r="L183">
        <v>12000</v>
      </c>
    </row>
    <row r="184" spans="1:15" x14ac:dyDescent="0.3">
      <c r="A184" t="s">
        <v>393</v>
      </c>
      <c r="B184" t="s">
        <v>394</v>
      </c>
      <c r="C184" t="s">
        <v>38</v>
      </c>
      <c r="D184" t="s">
        <v>30</v>
      </c>
      <c r="E184" s="2">
        <v>46045</v>
      </c>
      <c r="F184" s="2">
        <v>46045</v>
      </c>
      <c r="G184" s="2">
        <v>46239</v>
      </c>
      <c r="H184" s="25">
        <v>12199</v>
      </c>
      <c r="I184" t="s">
        <v>16</v>
      </c>
      <c r="J184" t="s">
        <v>17</v>
      </c>
      <c r="K184" t="s">
        <v>31</v>
      </c>
      <c r="L184">
        <v>12199</v>
      </c>
    </row>
    <row r="185" spans="1:15" x14ac:dyDescent="0.3">
      <c r="A185" t="s">
        <v>395</v>
      </c>
      <c r="B185" t="s">
        <v>396</v>
      </c>
      <c r="C185" t="s">
        <v>21</v>
      </c>
      <c r="D185" t="s">
        <v>30</v>
      </c>
      <c r="E185" s="2">
        <v>45767</v>
      </c>
      <c r="F185" s="2">
        <v>45767</v>
      </c>
      <c r="G185" s="2">
        <v>45967</v>
      </c>
      <c r="H185">
        <v>8000</v>
      </c>
      <c r="I185" t="s">
        <v>16</v>
      </c>
      <c r="J185" t="s">
        <v>35</v>
      </c>
      <c r="K185" t="s">
        <v>26</v>
      </c>
      <c r="L185">
        <v>8000</v>
      </c>
    </row>
    <row r="186" spans="1:15" x14ac:dyDescent="0.3">
      <c r="A186" t="s">
        <v>397</v>
      </c>
      <c r="B186" t="s">
        <v>398</v>
      </c>
      <c r="C186" t="s">
        <v>29</v>
      </c>
      <c r="D186" t="s">
        <v>30</v>
      </c>
      <c r="E186" s="2">
        <v>45933</v>
      </c>
      <c r="F186" s="2">
        <v>45933</v>
      </c>
      <c r="G186" s="2">
        <v>46172</v>
      </c>
      <c r="H186">
        <v>8000</v>
      </c>
      <c r="I186" t="s">
        <v>16</v>
      </c>
      <c r="J186" t="s">
        <v>17</v>
      </c>
      <c r="K186" t="s">
        <v>68</v>
      </c>
      <c r="L186">
        <v>8000</v>
      </c>
      <c r="O186" s="25"/>
    </row>
    <row r="187" spans="1:15" x14ac:dyDescent="0.3">
      <c r="A187" t="s">
        <v>399</v>
      </c>
      <c r="B187" t="s">
        <v>400</v>
      </c>
      <c r="C187" t="s">
        <v>29</v>
      </c>
      <c r="D187" t="s">
        <v>30</v>
      </c>
      <c r="E187" s="2">
        <v>46156</v>
      </c>
      <c r="F187" s="2">
        <v>45830</v>
      </c>
      <c r="G187" s="2">
        <v>46148</v>
      </c>
      <c r="H187">
        <v>18000</v>
      </c>
      <c r="I187" t="s">
        <v>23</v>
      </c>
      <c r="J187" t="s">
        <v>17</v>
      </c>
      <c r="K187" t="s">
        <v>26</v>
      </c>
      <c r="L187">
        <v>18000</v>
      </c>
    </row>
    <row r="188" spans="1:15" x14ac:dyDescent="0.3">
      <c r="A188" t="s">
        <v>401</v>
      </c>
      <c r="B188" t="s">
        <v>402</v>
      </c>
      <c r="C188" t="s">
        <v>21</v>
      </c>
      <c r="D188" t="s">
        <v>45</v>
      </c>
      <c r="E188" s="2">
        <v>46077</v>
      </c>
      <c r="F188" s="2">
        <v>46077</v>
      </c>
      <c r="G188" s="2">
        <v>46193</v>
      </c>
      <c r="H188">
        <v>12000</v>
      </c>
      <c r="I188" t="s">
        <v>16</v>
      </c>
      <c r="J188" t="s">
        <v>35</v>
      </c>
      <c r="K188" t="s">
        <v>26</v>
      </c>
      <c r="L188">
        <v>12000</v>
      </c>
    </row>
    <row r="189" spans="1:15" x14ac:dyDescent="0.3">
      <c r="A189" t="s">
        <v>403</v>
      </c>
      <c r="B189" t="s">
        <v>404</v>
      </c>
      <c r="C189" t="s">
        <v>21</v>
      </c>
      <c r="D189" t="s">
        <v>22</v>
      </c>
      <c r="E189" s="2">
        <v>46073</v>
      </c>
      <c r="F189" s="2">
        <v>46073</v>
      </c>
      <c r="G189" s="2">
        <v>46174</v>
      </c>
      <c r="H189">
        <v>12000</v>
      </c>
      <c r="I189" t="s">
        <v>16</v>
      </c>
      <c r="J189" t="s">
        <v>35</v>
      </c>
      <c r="K189" t="s">
        <v>31</v>
      </c>
      <c r="L189">
        <v>12000</v>
      </c>
    </row>
    <row r="190" spans="1:15" x14ac:dyDescent="0.3">
      <c r="A190" t="s">
        <v>405</v>
      </c>
      <c r="B190" t="s">
        <v>406</v>
      </c>
      <c r="C190" t="s">
        <v>21</v>
      </c>
      <c r="D190" t="s">
        <v>45</v>
      </c>
      <c r="E190" s="2">
        <v>45780</v>
      </c>
      <c r="F190" s="2">
        <v>45780</v>
      </c>
      <c r="G190" s="2">
        <v>46038</v>
      </c>
      <c r="H190">
        <v>12000</v>
      </c>
      <c r="I190" t="s">
        <v>23</v>
      </c>
      <c r="J190" t="s">
        <v>35</v>
      </c>
      <c r="K190" t="s">
        <v>18</v>
      </c>
      <c r="L190">
        <v>12000</v>
      </c>
    </row>
    <row r="191" spans="1:15" x14ac:dyDescent="0.3">
      <c r="A191" t="s">
        <v>407</v>
      </c>
      <c r="B191" t="s">
        <v>408</v>
      </c>
      <c r="C191" t="s">
        <v>14</v>
      </c>
      <c r="D191" t="s">
        <v>30</v>
      </c>
      <c r="E191" s="2">
        <v>45800</v>
      </c>
      <c r="F191" s="2">
        <v>45800</v>
      </c>
      <c r="G191" s="2">
        <v>46107</v>
      </c>
      <c r="H191">
        <v>18000</v>
      </c>
      <c r="I191" t="s">
        <v>23</v>
      </c>
      <c r="J191" t="s">
        <v>35</v>
      </c>
      <c r="K191" t="s">
        <v>68</v>
      </c>
      <c r="L191">
        <v>18000</v>
      </c>
    </row>
    <row r="192" spans="1:15" x14ac:dyDescent="0.3">
      <c r="A192" t="s">
        <v>409</v>
      </c>
      <c r="B192" t="s">
        <v>410</v>
      </c>
      <c r="C192" t="s">
        <v>21</v>
      </c>
      <c r="D192" t="s">
        <v>30</v>
      </c>
      <c r="E192" s="2">
        <v>45713</v>
      </c>
      <c r="F192" s="2">
        <v>45713</v>
      </c>
      <c r="G192" s="2">
        <v>46053</v>
      </c>
      <c r="H192">
        <v>10000</v>
      </c>
      <c r="I192" t="s">
        <v>23</v>
      </c>
      <c r="J192" t="s">
        <v>35</v>
      </c>
      <c r="K192" t="s">
        <v>18</v>
      </c>
      <c r="L192">
        <v>10000</v>
      </c>
    </row>
    <row r="193" spans="1:12" x14ac:dyDescent="0.3">
      <c r="A193" t="s">
        <v>411</v>
      </c>
      <c r="B193" t="s">
        <v>412</v>
      </c>
      <c r="C193" t="s">
        <v>29</v>
      </c>
      <c r="D193" t="s">
        <v>30</v>
      </c>
      <c r="E193" s="2">
        <v>46125</v>
      </c>
      <c r="F193" s="2">
        <v>46125</v>
      </c>
      <c r="G193" s="2">
        <v>46378</v>
      </c>
      <c r="H193">
        <v>15000</v>
      </c>
      <c r="I193" t="s">
        <v>16</v>
      </c>
      <c r="J193" t="s">
        <v>17</v>
      </c>
      <c r="K193" t="s">
        <v>26</v>
      </c>
      <c r="L193">
        <v>15000</v>
      </c>
    </row>
    <row r="194" spans="1:12" x14ac:dyDescent="0.3">
      <c r="A194" t="s">
        <v>413</v>
      </c>
      <c r="B194" t="s">
        <v>414</v>
      </c>
      <c r="C194" t="s">
        <v>29</v>
      </c>
      <c r="D194" t="s">
        <v>30</v>
      </c>
      <c r="E194" s="2">
        <v>46015</v>
      </c>
      <c r="F194" s="2">
        <v>46015</v>
      </c>
      <c r="G194" s="2">
        <v>46194</v>
      </c>
      <c r="H194">
        <v>10000</v>
      </c>
      <c r="I194" t="s">
        <v>23</v>
      </c>
      <c r="J194" t="s">
        <v>35</v>
      </c>
      <c r="K194" t="s">
        <v>68</v>
      </c>
      <c r="L194">
        <v>10000</v>
      </c>
    </row>
    <row r="195" spans="1:12" x14ac:dyDescent="0.3">
      <c r="A195" t="s">
        <v>415</v>
      </c>
      <c r="B195" t="s">
        <v>416</v>
      </c>
      <c r="C195" t="s">
        <v>29</v>
      </c>
      <c r="D195" t="s">
        <v>30</v>
      </c>
      <c r="E195" s="2">
        <v>45935</v>
      </c>
      <c r="F195" s="2">
        <v>45935</v>
      </c>
      <c r="G195" s="2">
        <v>46160</v>
      </c>
      <c r="H195">
        <v>10000</v>
      </c>
      <c r="I195" t="s">
        <v>16</v>
      </c>
      <c r="J195" t="s">
        <v>35</v>
      </c>
      <c r="K195" t="s">
        <v>31</v>
      </c>
      <c r="L195">
        <v>10000</v>
      </c>
    </row>
    <row r="196" spans="1:12" x14ac:dyDescent="0.3">
      <c r="A196" t="s">
        <v>417</v>
      </c>
      <c r="B196" t="s">
        <v>418</v>
      </c>
      <c r="C196" t="s">
        <v>29</v>
      </c>
      <c r="D196" t="s">
        <v>30</v>
      </c>
      <c r="E196" s="2">
        <v>45882</v>
      </c>
      <c r="F196" s="2">
        <v>45882</v>
      </c>
      <c r="G196" s="2">
        <v>46072</v>
      </c>
      <c r="H196">
        <v>12000</v>
      </c>
      <c r="I196" t="s">
        <v>16</v>
      </c>
      <c r="J196" t="s">
        <v>35</v>
      </c>
      <c r="K196" t="s">
        <v>18</v>
      </c>
      <c r="L196">
        <v>12000</v>
      </c>
    </row>
    <row r="197" spans="1:12" x14ac:dyDescent="0.3">
      <c r="A197" t="s">
        <v>419</v>
      </c>
      <c r="B197" t="s">
        <v>420</v>
      </c>
      <c r="C197" t="s">
        <v>21</v>
      </c>
      <c r="D197" t="s">
        <v>30</v>
      </c>
      <c r="E197" s="2">
        <v>45955</v>
      </c>
      <c r="F197" s="2">
        <v>45955</v>
      </c>
      <c r="G197" s="2">
        <v>46129</v>
      </c>
      <c r="H197">
        <v>8000</v>
      </c>
      <c r="I197" t="s">
        <v>16</v>
      </c>
      <c r="J197" t="s">
        <v>17</v>
      </c>
      <c r="K197" t="s">
        <v>18</v>
      </c>
      <c r="L197">
        <v>8000</v>
      </c>
    </row>
    <row r="198" spans="1:12" x14ac:dyDescent="0.3">
      <c r="A198" t="s">
        <v>421</v>
      </c>
      <c r="B198" t="s">
        <v>422</v>
      </c>
      <c r="C198" t="s">
        <v>29</v>
      </c>
      <c r="D198" t="s">
        <v>45</v>
      </c>
      <c r="E198" s="2">
        <v>46159</v>
      </c>
      <c r="F198" s="2">
        <v>46159</v>
      </c>
      <c r="G198" s="2">
        <v>46498</v>
      </c>
      <c r="H198">
        <v>12000</v>
      </c>
      <c r="I198" t="s">
        <v>16</v>
      </c>
      <c r="J198" t="s">
        <v>35</v>
      </c>
      <c r="K198" t="s">
        <v>18</v>
      </c>
      <c r="L198">
        <v>12000</v>
      </c>
    </row>
    <row r="199" spans="1:12" x14ac:dyDescent="0.3">
      <c r="A199" t="s">
        <v>423</v>
      </c>
      <c r="B199" t="s">
        <v>424</v>
      </c>
      <c r="C199" t="s">
        <v>14</v>
      </c>
      <c r="D199" t="s">
        <v>45</v>
      </c>
      <c r="E199" s="2">
        <v>45952</v>
      </c>
      <c r="F199" s="2">
        <v>45952</v>
      </c>
      <c r="G199" s="2">
        <v>46102</v>
      </c>
      <c r="H199">
        <v>8000</v>
      </c>
      <c r="I199" t="s">
        <v>23</v>
      </c>
      <c r="J199" t="s">
        <v>35</v>
      </c>
      <c r="K199" t="s">
        <v>68</v>
      </c>
      <c r="L199">
        <v>8000</v>
      </c>
    </row>
    <row r="200" spans="1:12" x14ac:dyDescent="0.3">
      <c r="A200" t="s">
        <v>425</v>
      </c>
      <c r="B200" t="s">
        <v>426</v>
      </c>
      <c r="C200" t="s">
        <v>14</v>
      </c>
      <c r="D200" t="s">
        <v>30</v>
      </c>
      <c r="E200" s="2">
        <v>45859</v>
      </c>
      <c r="F200" s="2">
        <v>45859</v>
      </c>
      <c r="G200" s="2">
        <v>46124</v>
      </c>
      <c r="H200">
        <v>18000</v>
      </c>
      <c r="I200" t="s">
        <v>16</v>
      </c>
      <c r="J200" t="s">
        <v>35</v>
      </c>
      <c r="K200" t="s">
        <v>68</v>
      </c>
      <c r="L200">
        <v>18000</v>
      </c>
    </row>
    <row r="201" spans="1:12" x14ac:dyDescent="0.3">
      <c r="A201" t="s">
        <v>427</v>
      </c>
      <c r="B201" t="s">
        <v>428</v>
      </c>
      <c r="C201" t="s">
        <v>14</v>
      </c>
      <c r="D201" t="s">
        <v>30</v>
      </c>
      <c r="E201" s="2">
        <v>46155</v>
      </c>
      <c r="F201" s="2">
        <v>46155</v>
      </c>
      <c r="G201" s="2">
        <v>46326</v>
      </c>
      <c r="H201">
        <v>12000</v>
      </c>
      <c r="I201" t="s">
        <v>16</v>
      </c>
      <c r="J201" t="s">
        <v>35</v>
      </c>
      <c r="K201" t="s">
        <v>18</v>
      </c>
      <c r="L201">
        <v>12000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A618-C22D-4AC2-BDEE-BE02966E322E}">
  <dimension ref="A1:U201"/>
  <sheetViews>
    <sheetView topLeftCell="H1" workbookViewId="0">
      <selection activeCell="S15" sqref="S15"/>
    </sheetView>
  </sheetViews>
  <sheetFormatPr defaultRowHeight="14.4" x14ac:dyDescent="0.3"/>
  <cols>
    <col min="16" max="16" width="13.109375" customWidth="1"/>
    <col min="17" max="17" width="14.109375" customWidth="1"/>
    <col min="18" max="18" width="13.44140625" customWidth="1"/>
    <col min="20" max="20" width="19.886718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436</v>
      </c>
      <c r="N1" s="1" t="s">
        <v>437</v>
      </c>
      <c r="O1" s="1" t="s">
        <v>438</v>
      </c>
      <c r="P1" s="1" t="s">
        <v>439</v>
      </c>
      <c r="Q1" s="1" t="s">
        <v>440</v>
      </c>
      <c r="R1" s="1" t="s">
        <v>441</v>
      </c>
    </row>
    <row r="2" spans="1:21" x14ac:dyDescent="0.3">
      <c r="A2" t="s">
        <v>12</v>
      </c>
      <c r="B2" t="s">
        <v>13</v>
      </c>
      <c r="C2" t="s">
        <v>14</v>
      </c>
      <c r="D2" t="s">
        <v>30</v>
      </c>
      <c r="E2" s="2">
        <v>46131</v>
      </c>
      <c r="F2" s="2">
        <v>46131</v>
      </c>
      <c r="G2" s="2">
        <v>46339</v>
      </c>
      <c r="H2">
        <v>10000</v>
      </c>
      <c r="I2" t="s">
        <v>16</v>
      </c>
      <c r="J2" t="s">
        <v>17</v>
      </c>
      <c r="K2" t="s">
        <v>18</v>
      </c>
      <c r="L2">
        <v>10000</v>
      </c>
      <c r="M2" t="str">
        <f t="shared" ref="M2:M65" si="0">IF(H2&gt;=15000,"High",IF(H2&gt;=10000,"Medium","Low"))</f>
        <v>Medium</v>
      </c>
      <c r="N2">
        <f t="shared" ref="N2:N65" si="1">G2-E2</f>
        <v>208</v>
      </c>
      <c r="O2">
        <f t="shared" ref="O2:O65" si="2">IF(I2="Occupied",1,0)</f>
        <v>1</v>
      </c>
      <c r="P2">
        <f t="shared" ref="P2:P65" ca="1" si="3">IF(G2&lt;TODAY(),TODAY()-G2,0)</f>
        <v>0</v>
      </c>
      <c r="Q2">
        <f t="shared" ref="Q2:Q33" ca="1" si="4">IF(AND(G2&lt;TODAY(),I2="Occupied"),TODAY()-G2,0)</f>
        <v>0</v>
      </c>
      <c r="R2">
        <f t="shared" ref="R2:R33" ca="1" si="5">IF(AND(J2="Pending",E2&lt;TODAY()),TODAY()-E2,0)</f>
        <v>51</v>
      </c>
      <c r="T2" s="7" t="s">
        <v>442</v>
      </c>
      <c r="U2" s="7" t="s">
        <v>435</v>
      </c>
    </row>
    <row r="3" spans="1:21" x14ac:dyDescent="0.3">
      <c r="A3" t="s">
        <v>19</v>
      </c>
      <c r="B3" t="s">
        <v>20</v>
      </c>
      <c r="C3" t="s">
        <v>21</v>
      </c>
      <c r="D3" t="s">
        <v>22</v>
      </c>
      <c r="E3" s="2">
        <v>46028</v>
      </c>
      <c r="F3" s="2">
        <v>46028</v>
      </c>
      <c r="G3" s="2">
        <v>46149</v>
      </c>
      <c r="H3">
        <v>12000</v>
      </c>
      <c r="I3" t="s">
        <v>23</v>
      </c>
      <c r="J3" t="s">
        <v>17</v>
      </c>
      <c r="K3" t="s">
        <v>18</v>
      </c>
      <c r="L3">
        <v>12000</v>
      </c>
      <c r="M3" t="str">
        <f t="shared" si="0"/>
        <v>Medium</v>
      </c>
      <c r="N3">
        <f t="shared" si="1"/>
        <v>121</v>
      </c>
      <c r="O3">
        <f t="shared" si="2"/>
        <v>0</v>
      </c>
      <c r="P3">
        <f t="shared" ca="1" si="3"/>
        <v>33</v>
      </c>
      <c r="Q3">
        <f t="shared" ca="1" si="4"/>
        <v>0</v>
      </c>
      <c r="R3">
        <f t="shared" ca="1" si="5"/>
        <v>154</v>
      </c>
      <c r="T3" s="5" t="s">
        <v>444</v>
      </c>
      <c r="U3" s="5">
        <f ca="1">COUNTIFS(G:G,"&lt;"&amp;TODAY(),I:I,"Occupied")</f>
        <v>76</v>
      </c>
    </row>
    <row r="4" spans="1:21" x14ac:dyDescent="0.3">
      <c r="A4" t="s">
        <v>24</v>
      </c>
      <c r="B4" t="s">
        <v>25</v>
      </c>
      <c r="C4" t="s">
        <v>21</v>
      </c>
      <c r="D4" t="s">
        <v>30</v>
      </c>
      <c r="E4" s="2">
        <v>45840</v>
      </c>
      <c r="F4" s="2">
        <v>45840</v>
      </c>
      <c r="G4" s="2">
        <v>45974</v>
      </c>
      <c r="H4">
        <v>10000</v>
      </c>
      <c r="I4" t="s">
        <v>23</v>
      </c>
      <c r="J4" t="s">
        <v>17</v>
      </c>
      <c r="K4" t="s">
        <v>26</v>
      </c>
      <c r="L4">
        <v>10000</v>
      </c>
      <c r="M4" t="str">
        <f t="shared" si="0"/>
        <v>Medium</v>
      </c>
      <c r="N4">
        <f t="shared" si="1"/>
        <v>134</v>
      </c>
      <c r="O4">
        <f t="shared" si="2"/>
        <v>0</v>
      </c>
      <c r="P4">
        <f t="shared" ca="1" si="3"/>
        <v>208</v>
      </c>
      <c r="Q4">
        <f t="shared" ca="1" si="4"/>
        <v>0</v>
      </c>
      <c r="R4">
        <f t="shared" ca="1" si="5"/>
        <v>342</v>
      </c>
      <c r="T4" s="6" t="s">
        <v>443</v>
      </c>
      <c r="U4" s="6">
        <f ca="1">COUNTIFS(J:J,"Pending",E:E,"&lt;"&amp;TODAY())</f>
        <v>111</v>
      </c>
    </row>
    <row r="5" spans="1:21" x14ac:dyDescent="0.3">
      <c r="A5" t="s">
        <v>27</v>
      </c>
      <c r="B5" t="s">
        <v>28</v>
      </c>
      <c r="C5" t="s">
        <v>29</v>
      </c>
      <c r="D5" t="s">
        <v>30</v>
      </c>
      <c r="E5" s="2">
        <v>45748</v>
      </c>
      <c r="F5" s="2">
        <v>45748</v>
      </c>
      <c r="G5" s="2">
        <v>45983</v>
      </c>
      <c r="H5">
        <v>10000</v>
      </c>
      <c r="I5" t="s">
        <v>23</v>
      </c>
      <c r="J5" t="s">
        <v>17</v>
      </c>
      <c r="K5" t="s">
        <v>31</v>
      </c>
      <c r="L5">
        <v>10000</v>
      </c>
      <c r="M5" t="str">
        <f t="shared" si="0"/>
        <v>Medium</v>
      </c>
      <c r="N5">
        <f t="shared" si="1"/>
        <v>235</v>
      </c>
      <c r="O5">
        <f t="shared" si="2"/>
        <v>0</v>
      </c>
      <c r="P5">
        <f t="shared" ca="1" si="3"/>
        <v>199</v>
      </c>
      <c r="Q5">
        <f t="shared" ca="1" si="4"/>
        <v>0</v>
      </c>
      <c r="R5">
        <f t="shared" ca="1" si="5"/>
        <v>434</v>
      </c>
    </row>
    <row r="6" spans="1:21" x14ac:dyDescent="0.3">
      <c r="A6" t="s">
        <v>32</v>
      </c>
      <c r="B6" t="s">
        <v>33</v>
      </c>
      <c r="C6" t="s">
        <v>14</v>
      </c>
      <c r="D6" t="s">
        <v>30</v>
      </c>
      <c r="E6" s="2">
        <v>46113</v>
      </c>
      <c r="F6" s="2">
        <v>46113</v>
      </c>
      <c r="G6" s="2">
        <v>46395</v>
      </c>
      <c r="H6">
        <v>10000</v>
      </c>
      <c r="I6" t="s">
        <v>16</v>
      </c>
      <c r="J6" t="s">
        <v>35</v>
      </c>
      <c r="K6" t="s">
        <v>26</v>
      </c>
      <c r="L6">
        <v>10000</v>
      </c>
      <c r="M6" t="str">
        <f t="shared" si="0"/>
        <v>Medium</v>
      </c>
      <c r="N6">
        <f t="shared" si="1"/>
        <v>282</v>
      </c>
      <c r="O6">
        <f t="shared" si="2"/>
        <v>1</v>
      </c>
      <c r="P6">
        <f t="shared" ca="1" si="3"/>
        <v>0</v>
      </c>
      <c r="Q6">
        <f t="shared" ca="1" si="4"/>
        <v>0</v>
      </c>
      <c r="R6">
        <f t="shared" ca="1" si="5"/>
        <v>0</v>
      </c>
    </row>
    <row r="7" spans="1:21" x14ac:dyDescent="0.3">
      <c r="A7" t="s">
        <v>36</v>
      </c>
      <c r="B7" t="s">
        <v>37</v>
      </c>
      <c r="C7" t="s">
        <v>38</v>
      </c>
      <c r="D7" t="s">
        <v>30</v>
      </c>
      <c r="E7" s="2">
        <v>45680</v>
      </c>
      <c r="F7" s="2">
        <v>45680</v>
      </c>
      <c r="G7" s="2">
        <v>45884</v>
      </c>
      <c r="H7">
        <v>8000</v>
      </c>
      <c r="I7" t="s">
        <v>16</v>
      </c>
      <c r="J7" t="s">
        <v>35</v>
      </c>
      <c r="K7" t="s">
        <v>31</v>
      </c>
      <c r="L7">
        <v>8000</v>
      </c>
      <c r="M7" t="str">
        <f t="shared" si="0"/>
        <v>Low</v>
      </c>
      <c r="N7">
        <f t="shared" si="1"/>
        <v>204</v>
      </c>
      <c r="O7">
        <f t="shared" si="2"/>
        <v>1</v>
      </c>
      <c r="P7">
        <f t="shared" ca="1" si="3"/>
        <v>298</v>
      </c>
      <c r="Q7">
        <f t="shared" ca="1" si="4"/>
        <v>298</v>
      </c>
      <c r="R7">
        <f t="shared" ca="1" si="5"/>
        <v>0</v>
      </c>
    </row>
    <row r="8" spans="1:21" x14ac:dyDescent="0.3">
      <c r="A8" t="s">
        <v>39</v>
      </c>
      <c r="B8" t="s">
        <v>40</v>
      </c>
      <c r="C8" t="s">
        <v>29</v>
      </c>
      <c r="D8" t="s">
        <v>30</v>
      </c>
      <c r="E8" s="2">
        <v>45952</v>
      </c>
      <c r="F8" s="2">
        <v>45952</v>
      </c>
      <c r="G8" s="2">
        <v>46115</v>
      </c>
      <c r="H8">
        <v>8000</v>
      </c>
      <c r="I8" t="s">
        <v>16</v>
      </c>
      <c r="J8" t="s">
        <v>17</v>
      </c>
      <c r="K8" t="s">
        <v>31</v>
      </c>
      <c r="L8">
        <v>8000</v>
      </c>
      <c r="M8" t="str">
        <f t="shared" si="0"/>
        <v>Low</v>
      </c>
      <c r="N8">
        <f t="shared" si="1"/>
        <v>163</v>
      </c>
      <c r="O8">
        <f t="shared" si="2"/>
        <v>1</v>
      </c>
      <c r="P8">
        <f t="shared" ca="1" si="3"/>
        <v>67</v>
      </c>
      <c r="Q8">
        <f t="shared" ca="1" si="4"/>
        <v>67</v>
      </c>
      <c r="R8">
        <f t="shared" ca="1" si="5"/>
        <v>230</v>
      </c>
    </row>
    <row r="9" spans="1:21" x14ac:dyDescent="0.3">
      <c r="A9" t="s">
        <v>41</v>
      </c>
      <c r="B9" t="s">
        <v>42</v>
      </c>
      <c r="C9" t="s">
        <v>14</v>
      </c>
      <c r="D9" t="s">
        <v>30</v>
      </c>
      <c r="E9" s="2">
        <v>45942</v>
      </c>
      <c r="F9" s="2">
        <v>45942</v>
      </c>
      <c r="G9" s="2">
        <v>46077</v>
      </c>
      <c r="H9">
        <v>12000</v>
      </c>
      <c r="I9" t="s">
        <v>16</v>
      </c>
      <c r="J9" t="s">
        <v>17</v>
      </c>
      <c r="K9" t="s">
        <v>18</v>
      </c>
      <c r="L9">
        <v>12000</v>
      </c>
      <c r="M9" t="str">
        <f t="shared" si="0"/>
        <v>Medium</v>
      </c>
      <c r="N9">
        <f t="shared" si="1"/>
        <v>135</v>
      </c>
      <c r="O9">
        <f t="shared" si="2"/>
        <v>1</v>
      </c>
      <c r="P9">
        <f t="shared" ca="1" si="3"/>
        <v>105</v>
      </c>
      <c r="Q9">
        <f t="shared" ca="1" si="4"/>
        <v>105</v>
      </c>
      <c r="R9">
        <f t="shared" ca="1" si="5"/>
        <v>240</v>
      </c>
    </row>
    <row r="10" spans="1:21" x14ac:dyDescent="0.3">
      <c r="A10" t="s">
        <v>43</v>
      </c>
      <c r="B10" t="s">
        <v>44</v>
      </c>
      <c r="C10" t="s">
        <v>14</v>
      </c>
      <c r="D10" t="s">
        <v>45</v>
      </c>
      <c r="E10" s="2">
        <v>46012</v>
      </c>
      <c r="F10" s="2">
        <v>46012</v>
      </c>
      <c r="G10" s="2">
        <v>46297</v>
      </c>
      <c r="H10">
        <v>15000</v>
      </c>
      <c r="I10" t="s">
        <v>16</v>
      </c>
      <c r="J10" t="s">
        <v>35</v>
      </c>
      <c r="K10" t="s">
        <v>31</v>
      </c>
      <c r="L10">
        <v>15000</v>
      </c>
      <c r="M10" t="str">
        <f t="shared" si="0"/>
        <v>High</v>
      </c>
      <c r="N10">
        <f t="shared" si="1"/>
        <v>285</v>
      </c>
      <c r="O10">
        <f t="shared" si="2"/>
        <v>1</v>
      </c>
      <c r="P10">
        <f t="shared" ca="1" si="3"/>
        <v>0</v>
      </c>
      <c r="Q10">
        <f t="shared" ca="1" si="4"/>
        <v>0</v>
      </c>
      <c r="R10">
        <f t="shared" ca="1" si="5"/>
        <v>0</v>
      </c>
    </row>
    <row r="11" spans="1:21" x14ac:dyDescent="0.3">
      <c r="A11" t="s">
        <v>46</v>
      </c>
      <c r="B11" t="s">
        <v>47</v>
      </c>
      <c r="C11" t="s">
        <v>29</v>
      </c>
      <c r="D11" t="s">
        <v>30</v>
      </c>
      <c r="E11" s="2">
        <v>45765</v>
      </c>
      <c r="F11" s="2">
        <v>45765</v>
      </c>
      <c r="G11" s="2">
        <v>46041</v>
      </c>
      <c r="H11">
        <v>15000</v>
      </c>
      <c r="I11" t="s">
        <v>23</v>
      </c>
      <c r="J11" t="s">
        <v>17</v>
      </c>
      <c r="K11" t="s">
        <v>18</v>
      </c>
      <c r="L11">
        <v>15000</v>
      </c>
      <c r="M11" t="str">
        <f t="shared" si="0"/>
        <v>High</v>
      </c>
      <c r="N11">
        <f t="shared" si="1"/>
        <v>276</v>
      </c>
      <c r="O11">
        <f t="shared" si="2"/>
        <v>0</v>
      </c>
      <c r="P11">
        <f t="shared" ca="1" si="3"/>
        <v>141</v>
      </c>
      <c r="Q11">
        <f t="shared" ca="1" si="4"/>
        <v>0</v>
      </c>
      <c r="R11">
        <f t="shared" ca="1" si="5"/>
        <v>417</v>
      </c>
    </row>
    <row r="12" spans="1:21" x14ac:dyDescent="0.3">
      <c r="A12" t="s">
        <v>48</v>
      </c>
      <c r="B12" t="s">
        <v>49</v>
      </c>
      <c r="C12" t="s">
        <v>38</v>
      </c>
      <c r="D12" t="s">
        <v>30</v>
      </c>
      <c r="E12" s="2">
        <v>45925</v>
      </c>
      <c r="F12" s="2">
        <v>45925</v>
      </c>
      <c r="G12" s="2">
        <v>46130</v>
      </c>
      <c r="H12">
        <v>18000</v>
      </c>
      <c r="I12" t="s">
        <v>23</v>
      </c>
      <c r="J12" t="s">
        <v>35</v>
      </c>
      <c r="K12" t="s">
        <v>18</v>
      </c>
      <c r="L12">
        <v>18000</v>
      </c>
      <c r="M12" t="str">
        <f t="shared" si="0"/>
        <v>High</v>
      </c>
      <c r="N12">
        <f t="shared" si="1"/>
        <v>205</v>
      </c>
      <c r="O12">
        <f t="shared" si="2"/>
        <v>0</v>
      </c>
      <c r="P12">
        <f t="shared" ca="1" si="3"/>
        <v>52</v>
      </c>
      <c r="Q12">
        <f t="shared" ca="1" si="4"/>
        <v>0</v>
      </c>
      <c r="R12">
        <f t="shared" ca="1" si="5"/>
        <v>0</v>
      </c>
    </row>
    <row r="13" spans="1:21" x14ac:dyDescent="0.3">
      <c r="A13" t="s">
        <v>50</v>
      </c>
      <c r="B13" t="s">
        <v>51</v>
      </c>
      <c r="C13" t="s">
        <v>29</v>
      </c>
      <c r="D13" t="s">
        <v>30</v>
      </c>
      <c r="E13" s="2">
        <v>46000</v>
      </c>
      <c r="F13" s="2">
        <v>46000</v>
      </c>
      <c r="G13" s="2">
        <v>46334</v>
      </c>
      <c r="H13">
        <v>8000</v>
      </c>
      <c r="I13" t="s">
        <v>16</v>
      </c>
      <c r="J13" t="s">
        <v>35</v>
      </c>
      <c r="K13" t="s">
        <v>18</v>
      </c>
      <c r="L13">
        <v>8000</v>
      </c>
      <c r="M13" t="str">
        <f t="shared" si="0"/>
        <v>Low</v>
      </c>
      <c r="N13">
        <f t="shared" si="1"/>
        <v>334</v>
      </c>
      <c r="O13">
        <f t="shared" si="2"/>
        <v>1</v>
      </c>
      <c r="P13">
        <f t="shared" ca="1" si="3"/>
        <v>0</v>
      </c>
      <c r="Q13">
        <f t="shared" ca="1" si="4"/>
        <v>0</v>
      </c>
      <c r="R13">
        <f t="shared" ca="1" si="5"/>
        <v>0</v>
      </c>
    </row>
    <row r="14" spans="1:21" x14ac:dyDescent="0.3">
      <c r="A14" t="s">
        <v>52</v>
      </c>
      <c r="B14" t="s">
        <v>53</v>
      </c>
      <c r="C14" t="s">
        <v>14</v>
      </c>
      <c r="D14" t="s">
        <v>30</v>
      </c>
      <c r="E14" s="2">
        <v>45912</v>
      </c>
      <c r="F14" s="2">
        <v>45912</v>
      </c>
      <c r="G14" s="2">
        <v>46171</v>
      </c>
      <c r="H14">
        <v>10000</v>
      </c>
      <c r="I14" t="s">
        <v>16</v>
      </c>
      <c r="J14" t="s">
        <v>35</v>
      </c>
      <c r="K14" t="s">
        <v>31</v>
      </c>
      <c r="L14">
        <v>10000</v>
      </c>
      <c r="M14" t="str">
        <f t="shared" si="0"/>
        <v>Medium</v>
      </c>
      <c r="N14">
        <f t="shared" si="1"/>
        <v>259</v>
      </c>
      <c r="O14">
        <f t="shared" si="2"/>
        <v>1</v>
      </c>
      <c r="P14">
        <f t="shared" ca="1" si="3"/>
        <v>11</v>
      </c>
      <c r="Q14">
        <f t="shared" ca="1" si="4"/>
        <v>11</v>
      </c>
      <c r="R14">
        <f t="shared" ca="1" si="5"/>
        <v>0</v>
      </c>
    </row>
    <row r="15" spans="1:21" x14ac:dyDescent="0.3">
      <c r="A15" t="s">
        <v>54</v>
      </c>
      <c r="B15" t="s">
        <v>55</v>
      </c>
      <c r="C15" t="s">
        <v>14</v>
      </c>
      <c r="D15" t="s">
        <v>22</v>
      </c>
      <c r="E15" s="2">
        <v>46083</v>
      </c>
      <c r="F15" s="2">
        <v>46083</v>
      </c>
      <c r="G15" s="2">
        <v>46172</v>
      </c>
      <c r="H15">
        <v>12000</v>
      </c>
      <c r="I15" t="s">
        <v>16</v>
      </c>
      <c r="J15" t="s">
        <v>17</v>
      </c>
      <c r="K15" t="s">
        <v>18</v>
      </c>
      <c r="L15">
        <v>12000</v>
      </c>
      <c r="M15" t="str">
        <f t="shared" si="0"/>
        <v>Medium</v>
      </c>
      <c r="N15">
        <f t="shared" si="1"/>
        <v>89</v>
      </c>
      <c r="O15">
        <f t="shared" si="2"/>
        <v>1</v>
      </c>
      <c r="P15">
        <f t="shared" ca="1" si="3"/>
        <v>10</v>
      </c>
      <c r="Q15">
        <f t="shared" ca="1" si="4"/>
        <v>10</v>
      </c>
      <c r="R15">
        <f t="shared" ca="1" si="5"/>
        <v>99</v>
      </c>
    </row>
    <row r="16" spans="1:21" x14ac:dyDescent="0.3">
      <c r="A16" t="s">
        <v>56</v>
      </c>
      <c r="B16" t="s">
        <v>57</v>
      </c>
      <c r="C16" t="s">
        <v>14</v>
      </c>
      <c r="D16" t="s">
        <v>30</v>
      </c>
      <c r="E16" s="2">
        <v>45870</v>
      </c>
      <c r="F16" s="2">
        <v>45870</v>
      </c>
      <c r="G16" s="2">
        <v>46028</v>
      </c>
      <c r="H16">
        <v>18000</v>
      </c>
      <c r="I16" t="s">
        <v>16</v>
      </c>
      <c r="J16" t="s">
        <v>35</v>
      </c>
      <c r="K16" t="s">
        <v>31</v>
      </c>
      <c r="L16">
        <v>18000</v>
      </c>
      <c r="M16" t="str">
        <f t="shared" si="0"/>
        <v>High</v>
      </c>
      <c r="N16">
        <f t="shared" si="1"/>
        <v>158</v>
      </c>
      <c r="O16">
        <f t="shared" si="2"/>
        <v>1</v>
      </c>
      <c r="P16">
        <f t="shared" ca="1" si="3"/>
        <v>154</v>
      </c>
      <c r="Q16">
        <f t="shared" ca="1" si="4"/>
        <v>154</v>
      </c>
      <c r="R16">
        <f t="shared" ca="1" si="5"/>
        <v>0</v>
      </c>
    </row>
    <row r="17" spans="1:18" x14ac:dyDescent="0.3">
      <c r="A17" t="s">
        <v>58</v>
      </c>
      <c r="B17" t="s">
        <v>59</v>
      </c>
      <c r="C17" t="s">
        <v>29</v>
      </c>
      <c r="D17" t="s">
        <v>30</v>
      </c>
      <c r="E17" s="2">
        <v>46147</v>
      </c>
      <c r="F17" s="2">
        <v>45759</v>
      </c>
      <c r="G17" s="2">
        <v>46036</v>
      </c>
      <c r="H17">
        <v>12000</v>
      </c>
      <c r="I17" t="s">
        <v>23</v>
      </c>
      <c r="J17" t="s">
        <v>17</v>
      </c>
      <c r="K17" t="s">
        <v>18</v>
      </c>
      <c r="L17">
        <v>12000</v>
      </c>
      <c r="M17" t="str">
        <f t="shared" si="0"/>
        <v>Medium</v>
      </c>
      <c r="N17">
        <f t="shared" si="1"/>
        <v>-111</v>
      </c>
      <c r="O17">
        <f t="shared" si="2"/>
        <v>0</v>
      </c>
      <c r="P17">
        <f t="shared" ca="1" si="3"/>
        <v>146</v>
      </c>
      <c r="Q17">
        <f t="shared" ca="1" si="4"/>
        <v>0</v>
      </c>
      <c r="R17">
        <f t="shared" ca="1" si="5"/>
        <v>35</v>
      </c>
    </row>
    <row r="18" spans="1:18" x14ac:dyDescent="0.3">
      <c r="A18" t="s">
        <v>60</v>
      </c>
      <c r="B18" t="s">
        <v>61</v>
      </c>
      <c r="C18" t="s">
        <v>21</v>
      </c>
      <c r="D18" t="s">
        <v>30</v>
      </c>
      <c r="E18" s="2">
        <v>46035</v>
      </c>
      <c r="F18" s="2">
        <v>46035</v>
      </c>
      <c r="G18" s="2">
        <v>46182</v>
      </c>
      <c r="H18">
        <v>18000</v>
      </c>
      <c r="I18" t="s">
        <v>16</v>
      </c>
      <c r="J18" t="s">
        <v>35</v>
      </c>
      <c r="K18" t="s">
        <v>26</v>
      </c>
      <c r="L18">
        <v>18000</v>
      </c>
      <c r="M18" t="str">
        <f t="shared" si="0"/>
        <v>High</v>
      </c>
      <c r="N18">
        <f t="shared" si="1"/>
        <v>147</v>
      </c>
      <c r="O18">
        <f t="shared" si="2"/>
        <v>1</v>
      </c>
      <c r="P18">
        <f t="shared" ca="1" si="3"/>
        <v>0</v>
      </c>
      <c r="Q18">
        <f t="shared" ca="1" si="4"/>
        <v>0</v>
      </c>
      <c r="R18">
        <f t="shared" ca="1" si="5"/>
        <v>0</v>
      </c>
    </row>
    <row r="19" spans="1:18" x14ac:dyDescent="0.3">
      <c r="A19" t="s">
        <v>62</v>
      </c>
      <c r="B19" t="s">
        <v>63</v>
      </c>
      <c r="C19" t="s">
        <v>38</v>
      </c>
      <c r="D19" t="s">
        <v>30</v>
      </c>
      <c r="E19" s="2">
        <v>45779</v>
      </c>
      <c r="F19" s="2">
        <v>45779</v>
      </c>
      <c r="G19" s="2">
        <v>46141</v>
      </c>
      <c r="H19">
        <v>18000</v>
      </c>
      <c r="I19" t="s">
        <v>16</v>
      </c>
      <c r="J19" t="s">
        <v>17</v>
      </c>
      <c r="K19" t="s">
        <v>18</v>
      </c>
      <c r="L19">
        <v>18000</v>
      </c>
      <c r="M19" t="str">
        <f t="shared" si="0"/>
        <v>High</v>
      </c>
      <c r="N19">
        <f t="shared" si="1"/>
        <v>362</v>
      </c>
      <c r="O19">
        <f t="shared" si="2"/>
        <v>1</v>
      </c>
      <c r="P19">
        <f t="shared" ca="1" si="3"/>
        <v>41</v>
      </c>
      <c r="Q19">
        <f t="shared" ca="1" si="4"/>
        <v>41</v>
      </c>
      <c r="R19">
        <f t="shared" ca="1" si="5"/>
        <v>403</v>
      </c>
    </row>
    <row r="20" spans="1:18" x14ac:dyDescent="0.3">
      <c r="A20" t="s">
        <v>64</v>
      </c>
      <c r="B20" t="s">
        <v>65</v>
      </c>
      <c r="C20" t="s">
        <v>38</v>
      </c>
      <c r="D20" t="s">
        <v>30</v>
      </c>
      <c r="E20" s="2">
        <v>45758</v>
      </c>
      <c r="F20" s="2">
        <v>45758</v>
      </c>
      <c r="G20" s="2">
        <v>45965</v>
      </c>
      <c r="H20">
        <v>8000</v>
      </c>
      <c r="I20" t="s">
        <v>16</v>
      </c>
      <c r="J20" t="s">
        <v>35</v>
      </c>
      <c r="K20" t="s">
        <v>18</v>
      </c>
      <c r="L20">
        <v>8000</v>
      </c>
      <c r="M20" t="str">
        <f t="shared" si="0"/>
        <v>Low</v>
      </c>
      <c r="N20">
        <f t="shared" si="1"/>
        <v>207</v>
      </c>
      <c r="O20">
        <f t="shared" si="2"/>
        <v>1</v>
      </c>
      <c r="P20">
        <f t="shared" ca="1" si="3"/>
        <v>217</v>
      </c>
      <c r="Q20">
        <f t="shared" ca="1" si="4"/>
        <v>217</v>
      </c>
      <c r="R20">
        <f t="shared" ca="1" si="5"/>
        <v>0</v>
      </c>
    </row>
    <row r="21" spans="1:18" x14ac:dyDescent="0.3">
      <c r="A21" t="s">
        <v>66</v>
      </c>
      <c r="B21" t="s">
        <v>67</v>
      </c>
      <c r="C21" t="s">
        <v>29</v>
      </c>
      <c r="D21" t="s">
        <v>30</v>
      </c>
      <c r="E21" s="2">
        <v>46129</v>
      </c>
      <c r="F21" s="2">
        <v>46129</v>
      </c>
      <c r="G21" s="2">
        <v>46412</v>
      </c>
      <c r="H21">
        <v>12000</v>
      </c>
      <c r="I21" t="s">
        <v>16</v>
      </c>
      <c r="J21" t="s">
        <v>17</v>
      </c>
      <c r="K21" t="s">
        <v>68</v>
      </c>
      <c r="L21">
        <v>12000</v>
      </c>
      <c r="M21" t="str">
        <f t="shared" si="0"/>
        <v>Medium</v>
      </c>
      <c r="N21">
        <f t="shared" si="1"/>
        <v>283</v>
      </c>
      <c r="O21">
        <f t="shared" si="2"/>
        <v>1</v>
      </c>
      <c r="P21">
        <f t="shared" ca="1" si="3"/>
        <v>0</v>
      </c>
      <c r="Q21">
        <f t="shared" ca="1" si="4"/>
        <v>0</v>
      </c>
      <c r="R21">
        <f t="shared" ca="1" si="5"/>
        <v>53</v>
      </c>
    </row>
    <row r="22" spans="1:18" x14ac:dyDescent="0.3">
      <c r="A22" t="s">
        <v>69</v>
      </c>
      <c r="B22" t="s">
        <v>70</v>
      </c>
      <c r="C22" t="s">
        <v>38</v>
      </c>
      <c r="D22" t="s">
        <v>30</v>
      </c>
      <c r="E22" s="2">
        <v>46064</v>
      </c>
      <c r="F22" s="2">
        <v>46064</v>
      </c>
      <c r="G22" s="2">
        <v>46257</v>
      </c>
      <c r="H22">
        <v>12000</v>
      </c>
      <c r="I22" t="s">
        <v>16</v>
      </c>
      <c r="J22" t="s">
        <v>17</v>
      </c>
      <c r="K22" t="s">
        <v>18</v>
      </c>
      <c r="L22">
        <v>12000</v>
      </c>
      <c r="M22" t="str">
        <f t="shared" si="0"/>
        <v>Medium</v>
      </c>
      <c r="N22">
        <f t="shared" si="1"/>
        <v>193</v>
      </c>
      <c r="O22">
        <f t="shared" si="2"/>
        <v>1</v>
      </c>
      <c r="P22">
        <f t="shared" ca="1" si="3"/>
        <v>0</v>
      </c>
      <c r="Q22">
        <f t="shared" ca="1" si="4"/>
        <v>0</v>
      </c>
      <c r="R22">
        <f t="shared" ca="1" si="5"/>
        <v>118</v>
      </c>
    </row>
    <row r="23" spans="1:18" x14ac:dyDescent="0.3">
      <c r="A23" t="s">
        <v>71</v>
      </c>
      <c r="B23" t="s">
        <v>72</v>
      </c>
      <c r="C23" t="s">
        <v>14</v>
      </c>
      <c r="D23" t="s">
        <v>30</v>
      </c>
      <c r="E23" s="2">
        <v>45700</v>
      </c>
      <c r="F23" s="2">
        <v>45700</v>
      </c>
      <c r="G23" s="2">
        <v>45882</v>
      </c>
      <c r="H23">
        <v>18000</v>
      </c>
      <c r="I23" t="s">
        <v>23</v>
      </c>
      <c r="J23" t="s">
        <v>35</v>
      </c>
      <c r="K23" t="s">
        <v>31</v>
      </c>
      <c r="L23">
        <v>18000</v>
      </c>
      <c r="M23" t="str">
        <f t="shared" si="0"/>
        <v>High</v>
      </c>
      <c r="N23">
        <f t="shared" si="1"/>
        <v>182</v>
      </c>
      <c r="O23">
        <f t="shared" si="2"/>
        <v>0</v>
      </c>
      <c r="P23">
        <f t="shared" ca="1" si="3"/>
        <v>300</v>
      </c>
      <c r="Q23">
        <f t="shared" ca="1" si="4"/>
        <v>0</v>
      </c>
      <c r="R23">
        <f t="shared" ca="1" si="5"/>
        <v>0</v>
      </c>
    </row>
    <row r="24" spans="1:18" x14ac:dyDescent="0.3">
      <c r="A24" t="s">
        <v>73</v>
      </c>
      <c r="B24" t="s">
        <v>74</v>
      </c>
      <c r="C24" t="s">
        <v>38</v>
      </c>
      <c r="D24" t="s">
        <v>45</v>
      </c>
      <c r="E24" s="2">
        <v>46009</v>
      </c>
      <c r="F24" s="2">
        <v>46009</v>
      </c>
      <c r="G24" s="2">
        <v>46292</v>
      </c>
      <c r="H24">
        <v>15000</v>
      </c>
      <c r="I24" t="s">
        <v>23</v>
      </c>
      <c r="J24" t="s">
        <v>35</v>
      </c>
      <c r="K24" t="s">
        <v>18</v>
      </c>
      <c r="L24">
        <v>15000</v>
      </c>
      <c r="M24" t="str">
        <f t="shared" si="0"/>
        <v>High</v>
      </c>
      <c r="N24">
        <f t="shared" si="1"/>
        <v>283</v>
      </c>
      <c r="O24">
        <f t="shared" si="2"/>
        <v>0</v>
      </c>
      <c r="P24">
        <f t="shared" ca="1" si="3"/>
        <v>0</v>
      </c>
      <c r="Q24">
        <f t="shared" ca="1" si="4"/>
        <v>0</v>
      </c>
      <c r="R24">
        <f t="shared" ca="1" si="5"/>
        <v>0</v>
      </c>
    </row>
    <row r="25" spans="1:18" x14ac:dyDescent="0.3">
      <c r="A25" t="s">
        <v>75</v>
      </c>
      <c r="B25" t="s">
        <v>76</v>
      </c>
      <c r="C25" t="s">
        <v>29</v>
      </c>
      <c r="D25" t="s">
        <v>22</v>
      </c>
      <c r="E25" s="2">
        <v>45752</v>
      </c>
      <c r="F25" s="2">
        <v>45752</v>
      </c>
      <c r="G25" s="2">
        <v>45949</v>
      </c>
      <c r="H25">
        <v>18000</v>
      </c>
      <c r="I25" t="s">
        <v>16</v>
      </c>
      <c r="J25" t="s">
        <v>17</v>
      </c>
      <c r="K25" t="s">
        <v>26</v>
      </c>
      <c r="L25">
        <v>18000</v>
      </c>
      <c r="M25" t="str">
        <f t="shared" si="0"/>
        <v>High</v>
      </c>
      <c r="N25">
        <f t="shared" si="1"/>
        <v>197</v>
      </c>
      <c r="O25">
        <f t="shared" si="2"/>
        <v>1</v>
      </c>
      <c r="P25">
        <f t="shared" ca="1" si="3"/>
        <v>233</v>
      </c>
      <c r="Q25">
        <f t="shared" ca="1" si="4"/>
        <v>233</v>
      </c>
      <c r="R25">
        <f t="shared" ca="1" si="5"/>
        <v>430</v>
      </c>
    </row>
    <row r="26" spans="1:18" x14ac:dyDescent="0.3">
      <c r="A26" t="s">
        <v>77</v>
      </c>
      <c r="B26" t="s">
        <v>78</v>
      </c>
      <c r="C26" t="s">
        <v>14</v>
      </c>
      <c r="D26" t="s">
        <v>30</v>
      </c>
      <c r="E26" s="2">
        <v>45924</v>
      </c>
      <c r="F26" s="2">
        <v>45924</v>
      </c>
      <c r="G26" s="2">
        <v>46132</v>
      </c>
      <c r="H26">
        <v>10000</v>
      </c>
      <c r="I26" t="s">
        <v>16</v>
      </c>
      <c r="J26" t="s">
        <v>35</v>
      </c>
      <c r="K26" t="s">
        <v>26</v>
      </c>
      <c r="L26">
        <v>10000</v>
      </c>
      <c r="M26" t="str">
        <f t="shared" si="0"/>
        <v>Medium</v>
      </c>
      <c r="N26">
        <f t="shared" si="1"/>
        <v>208</v>
      </c>
      <c r="O26">
        <f t="shared" si="2"/>
        <v>1</v>
      </c>
      <c r="P26">
        <f t="shared" ca="1" si="3"/>
        <v>50</v>
      </c>
      <c r="Q26">
        <f t="shared" ca="1" si="4"/>
        <v>50</v>
      </c>
      <c r="R26">
        <f t="shared" ca="1" si="5"/>
        <v>0</v>
      </c>
    </row>
    <row r="27" spans="1:18" x14ac:dyDescent="0.3">
      <c r="A27" t="s">
        <v>79</v>
      </c>
      <c r="B27" t="s">
        <v>80</v>
      </c>
      <c r="C27" t="s">
        <v>38</v>
      </c>
      <c r="D27" t="s">
        <v>22</v>
      </c>
      <c r="E27" s="2">
        <v>45932</v>
      </c>
      <c r="F27" s="2">
        <v>45932</v>
      </c>
      <c r="G27" s="2">
        <v>46148</v>
      </c>
      <c r="H27">
        <v>12000</v>
      </c>
      <c r="I27" t="s">
        <v>16</v>
      </c>
      <c r="J27" t="s">
        <v>17</v>
      </c>
      <c r="K27" t="s">
        <v>68</v>
      </c>
      <c r="L27">
        <v>12000</v>
      </c>
      <c r="M27" t="str">
        <f t="shared" si="0"/>
        <v>Medium</v>
      </c>
      <c r="N27">
        <f t="shared" si="1"/>
        <v>216</v>
      </c>
      <c r="O27">
        <f t="shared" si="2"/>
        <v>1</v>
      </c>
      <c r="P27">
        <f t="shared" ca="1" si="3"/>
        <v>34</v>
      </c>
      <c r="Q27">
        <f t="shared" ca="1" si="4"/>
        <v>34</v>
      </c>
      <c r="R27">
        <f t="shared" ca="1" si="5"/>
        <v>250</v>
      </c>
    </row>
    <row r="28" spans="1:18" x14ac:dyDescent="0.3">
      <c r="A28" t="s">
        <v>81</v>
      </c>
      <c r="B28" t="s">
        <v>82</v>
      </c>
      <c r="C28" t="s">
        <v>38</v>
      </c>
      <c r="D28" t="s">
        <v>22</v>
      </c>
      <c r="E28" s="2">
        <v>45867</v>
      </c>
      <c r="F28" s="2">
        <v>45867</v>
      </c>
      <c r="G28" s="2">
        <v>46180</v>
      </c>
      <c r="H28">
        <v>8000</v>
      </c>
      <c r="I28" t="s">
        <v>23</v>
      </c>
      <c r="J28" t="s">
        <v>35</v>
      </c>
      <c r="K28" t="s">
        <v>68</v>
      </c>
      <c r="L28">
        <v>8000</v>
      </c>
      <c r="M28" t="str">
        <f t="shared" si="0"/>
        <v>Low</v>
      </c>
      <c r="N28">
        <f t="shared" si="1"/>
        <v>313</v>
      </c>
      <c r="O28">
        <f t="shared" si="2"/>
        <v>0</v>
      </c>
      <c r="P28">
        <f t="shared" ca="1" si="3"/>
        <v>2</v>
      </c>
      <c r="Q28">
        <f t="shared" ca="1" si="4"/>
        <v>0</v>
      </c>
      <c r="R28">
        <f t="shared" ca="1" si="5"/>
        <v>0</v>
      </c>
    </row>
    <row r="29" spans="1:18" x14ac:dyDescent="0.3">
      <c r="A29" t="s">
        <v>83</v>
      </c>
      <c r="B29" t="s">
        <v>84</v>
      </c>
      <c r="C29" t="s">
        <v>14</v>
      </c>
      <c r="D29" t="s">
        <v>30</v>
      </c>
      <c r="E29" s="2">
        <v>45779</v>
      </c>
      <c r="F29" s="2">
        <v>45779</v>
      </c>
      <c r="G29" s="2">
        <v>45972</v>
      </c>
      <c r="H29">
        <v>10000</v>
      </c>
      <c r="I29" t="s">
        <v>23</v>
      </c>
      <c r="J29" t="s">
        <v>35</v>
      </c>
      <c r="K29" t="s">
        <v>31</v>
      </c>
      <c r="L29">
        <v>10000</v>
      </c>
      <c r="M29" t="str">
        <f t="shared" si="0"/>
        <v>Medium</v>
      </c>
      <c r="N29">
        <f t="shared" si="1"/>
        <v>193</v>
      </c>
      <c r="O29">
        <f t="shared" si="2"/>
        <v>0</v>
      </c>
      <c r="P29">
        <f t="shared" ca="1" si="3"/>
        <v>210</v>
      </c>
      <c r="Q29">
        <f t="shared" ca="1" si="4"/>
        <v>0</v>
      </c>
      <c r="R29">
        <f t="shared" ca="1" si="5"/>
        <v>0</v>
      </c>
    </row>
    <row r="30" spans="1:18" x14ac:dyDescent="0.3">
      <c r="A30" t="s">
        <v>85</v>
      </c>
      <c r="B30" t="s">
        <v>86</v>
      </c>
      <c r="C30" t="s">
        <v>38</v>
      </c>
      <c r="D30" t="s">
        <v>45</v>
      </c>
      <c r="E30" s="2">
        <v>46094</v>
      </c>
      <c r="F30" s="2">
        <v>46094</v>
      </c>
      <c r="G30" s="2">
        <v>46143</v>
      </c>
      <c r="H30">
        <v>8000</v>
      </c>
      <c r="I30" t="s">
        <v>16</v>
      </c>
      <c r="J30" t="s">
        <v>17</v>
      </c>
      <c r="K30" t="s">
        <v>18</v>
      </c>
      <c r="L30">
        <v>8000</v>
      </c>
      <c r="M30" t="str">
        <f t="shared" si="0"/>
        <v>Low</v>
      </c>
      <c r="N30">
        <f t="shared" si="1"/>
        <v>49</v>
      </c>
      <c r="O30">
        <f t="shared" si="2"/>
        <v>1</v>
      </c>
      <c r="P30">
        <f t="shared" ca="1" si="3"/>
        <v>39</v>
      </c>
      <c r="Q30">
        <f t="shared" ca="1" si="4"/>
        <v>39</v>
      </c>
      <c r="R30">
        <f t="shared" ca="1" si="5"/>
        <v>88</v>
      </c>
    </row>
    <row r="31" spans="1:18" x14ac:dyDescent="0.3">
      <c r="A31" t="s">
        <v>87</v>
      </c>
      <c r="B31" t="s">
        <v>88</v>
      </c>
      <c r="C31" t="s">
        <v>38</v>
      </c>
      <c r="D31" t="s">
        <v>30</v>
      </c>
      <c r="E31" s="2">
        <v>45799</v>
      </c>
      <c r="F31" s="2">
        <v>45799</v>
      </c>
      <c r="G31" s="2">
        <v>45916</v>
      </c>
      <c r="H31">
        <v>8000</v>
      </c>
      <c r="I31" t="s">
        <v>16</v>
      </c>
      <c r="J31" t="s">
        <v>35</v>
      </c>
      <c r="K31" t="s">
        <v>26</v>
      </c>
      <c r="L31">
        <v>8000</v>
      </c>
      <c r="M31" t="str">
        <f t="shared" si="0"/>
        <v>Low</v>
      </c>
      <c r="N31">
        <f t="shared" si="1"/>
        <v>117</v>
      </c>
      <c r="O31">
        <f t="shared" si="2"/>
        <v>1</v>
      </c>
      <c r="P31">
        <f t="shared" ca="1" si="3"/>
        <v>266</v>
      </c>
      <c r="Q31">
        <f t="shared" ca="1" si="4"/>
        <v>266</v>
      </c>
      <c r="R31">
        <f t="shared" ca="1" si="5"/>
        <v>0</v>
      </c>
    </row>
    <row r="32" spans="1:18" x14ac:dyDescent="0.3">
      <c r="A32" t="s">
        <v>89</v>
      </c>
      <c r="B32" t="s">
        <v>90</v>
      </c>
      <c r="C32" t="s">
        <v>29</v>
      </c>
      <c r="D32" t="s">
        <v>30</v>
      </c>
      <c r="E32" s="2">
        <v>46098</v>
      </c>
      <c r="F32" s="2">
        <v>46098</v>
      </c>
      <c r="G32" s="2">
        <v>46327</v>
      </c>
      <c r="H32">
        <v>15000</v>
      </c>
      <c r="I32" t="s">
        <v>16</v>
      </c>
      <c r="J32" t="s">
        <v>35</v>
      </c>
      <c r="K32" t="s">
        <v>18</v>
      </c>
      <c r="L32">
        <v>15000</v>
      </c>
      <c r="M32" t="str">
        <f t="shared" si="0"/>
        <v>High</v>
      </c>
      <c r="N32">
        <f t="shared" si="1"/>
        <v>229</v>
      </c>
      <c r="O32">
        <f t="shared" si="2"/>
        <v>1</v>
      </c>
      <c r="P32">
        <f t="shared" ca="1" si="3"/>
        <v>0</v>
      </c>
      <c r="Q32">
        <f t="shared" ca="1" si="4"/>
        <v>0</v>
      </c>
      <c r="R32">
        <f t="shared" ca="1" si="5"/>
        <v>0</v>
      </c>
    </row>
    <row r="33" spans="1:18" x14ac:dyDescent="0.3">
      <c r="A33" t="s">
        <v>91</v>
      </c>
      <c r="B33" t="s">
        <v>92</v>
      </c>
      <c r="C33" t="s">
        <v>38</v>
      </c>
      <c r="D33" t="s">
        <v>45</v>
      </c>
      <c r="E33" s="2">
        <v>45812</v>
      </c>
      <c r="F33" s="2">
        <v>45812</v>
      </c>
      <c r="G33" s="2">
        <v>46098</v>
      </c>
      <c r="H33">
        <v>15000</v>
      </c>
      <c r="I33" t="s">
        <v>23</v>
      </c>
      <c r="J33" t="s">
        <v>17</v>
      </c>
      <c r="K33" t="s">
        <v>68</v>
      </c>
      <c r="L33">
        <v>15000</v>
      </c>
      <c r="M33" t="str">
        <f t="shared" si="0"/>
        <v>High</v>
      </c>
      <c r="N33">
        <f t="shared" si="1"/>
        <v>286</v>
      </c>
      <c r="O33">
        <f t="shared" si="2"/>
        <v>0</v>
      </c>
      <c r="P33">
        <f t="shared" ca="1" si="3"/>
        <v>84</v>
      </c>
      <c r="Q33">
        <f t="shared" ca="1" si="4"/>
        <v>0</v>
      </c>
      <c r="R33">
        <f t="shared" ca="1" si="5"/>
        <v>370</v>
      </c>
    </row>
    <row r="34" spans="1:18" x14ac:dyDescent="0.3">
      <c r="A34" t="s">
        <v>93</v>
      </c>
      <c r="B34" t="s">
        <v>94</v>
      </c>
      <c r="C34" t="s">
        <v>38</v>
      </c>
      <c r="D34" t="s">
        <v>45</v>
      </c>
      <c r="E34" s="2">
        <v>46173</v>
      </c>
      <c r="F34" s="2">
        <v>45861</v>
      </c>
      <c r="G34" s="2">
        <v>46195</v>
      </c>
      <c r="H34">
        <v>12000</v>
      </c>
      <c r="I34" t="s">
        <v>16</v>
      </c>
      <c r="J34" t="s">
        <v>17</v>
      </c>
      <c r="K34" t="s">
        <v>18</v>
      </c>
      <c r="L34">
        <v>12000</v>
      </c>
      <c r="M34" t="str">
        <f t="shared" si="0"/>
        <v>Medium</v>
      </c>
      <c r="N34">
        <f t="shared" si="1"/>
        <v>22</v>
      </c>
      <c r="O34">
        <f t="shared" si="2"/>
        <v>1</v>
      </c>
      <c r="P34">
        <f t="shared" ca="1" si="3"/>
        <v>0</v>
      </c>
      <c r="Q34">
        <f t="shared" ref="Q34:Q65" ca="1" si="6">IF(AND(G34&lt;TODAY(),I34="Occupied"),TODAY()-G34,0)</f>
        <v>0</v>
      </c>
      <c r="R34">
        <f t="shared" ref="R34:R65" ca="1" si="7">IF(AND(J34="Pending",E34&lt;TODAY()),TODAY()-E34,0)</f>
        <v>9</v>
      </c>
    </row>
    <row r="35" spans="1:18" x14ac:dyDescent="0.3">
      <c r="A35" t="s">
        <v>95</v>
      </c>
      <c r="B35" t="s">
        <v>96</v>
      </c>
      <c r="C35" t="s">
        <v>14</v>
      </c>
      <c r="D35" t="s">
        <v>30</v>
      </c>
      <c r="E35" s="2">
        <v>45690</v>
      </c>
      <c r="F35" s="2">
        <v>45690</v>
      </c>
      <c r="G35" s="2">
        <v>45951</v>
      </c>
      <c r="H35">
        <v>12000</v>
      </c>
      <c r="I35" t="s">
        <v>23</v>
      </c>
      <c r="J35" t="s">
        <v>35</v>
      </c>
      <c r="K35" t="s">
        <v>18</v>
      </c>
      <c r="L35">
        <v>12000</v>
      </c>
      <c r="M35" t="str">
        <f t="shared" si="0"/>
        <v>Medium</v>
      </c>
      <c r="N35">
        <f t="shared" si="1"/>
        <v>261</v>
      </c>
      <c r="O35">
        <f t="shared" si="2"/>
        <v>0</v>
      </c>
      <c r="P35">
        <f t="shared" ca="1" si="3"/>
        <v>231</v>
      </c>
      <c r="Q35">
        <f t="shared" ca="1" si="6"/>
        <v>0</v>
      </c>
      <c r="R35">
        <f t="shared" ca="1" si="7"/>
        <v>0</v>
      </c>
    </row>
    <row r="36" spans="1:18" x14ac:dyDescent="0.3">
      <c r="A36" t="s">
        <v>97</v>
      </c>
      <c r="B36" t="s">
        <v>98</v>
      </c>
      <c r="C36" t="s">
        <v>14</v>
      </c>
      <c r="D36" t="s">
        <v>22</v>
      </c>
      <c r="E36" s="2">
        <v>45708</v>
      </c>
      <c r="F36" s="2">
        <v>45708</v>
      </c>
      <c r="G36" s="2">
        <v>45961</v>
      </c>
      <c r="H36">
        <v>10000</v>
      </c>
      <c r="I36" t="s">
        <v>16</v>
      </c>
      <c r="J36" t="s">
        <v>35</v>
      </c>
      <c r="K36" t="s">
        <v>68</v>
      </c>
      <c r="L36">
        <v>10000</v>
      </c>
      <c r="M36" t="str">
        <f t="shared" si="0"/>
        <v>Medium</v>
      </c>
      <c r="N36">
        <f t="shared" si="1"/>
        <v>253</v>
      </c>
      <c r="O36">
        <f t="shared" si="2"/>
        <v>1</v>
      </c>
      <c r="P36">
        <f t="shared" ca="1" si="3"/>
        <v>221</v>
      </c>
      <c r="Q36">
        <f t="shared" ca="1" si="6"/>
        <v>221</v>
      </c>
      <c r="R36">
        <f t="shared" ca="1" si="7"/>
        <v>0</v>
      </c>
    </row>
    <row r="37" spans="1:18" x14ac:dyDescent="0.3">
      <c r="A37" t="s">
        <v>99</v>
      </c>
      <c r="B37" t="s">
        <v>100</v>
      </c>
      <c r="C37" t="s">
        <v>38</v>
      </c>
      <c r="D37" t="s">
        <v>22</v>
      </c>
      <c r="E37" s="2">
        <v>45804</v>
      </c>
      <c r="F37" s="2">
        <v>45804</v>
      </c>
      <c r="G37" s="2">
        <v>46069</v>
      </c>
      <c r="H37">
        <v>8000</v>
      </c>
      <c r="I37" t="s">
        <v>16</v>
      </c>
      <c r="J37" t="s">
        <v>17</v>
      </c>
      <c r="K37" t="s">
        <v>26</v>
      </c>
      <c r="L37">
        <v>8000</v>
      </c>
      <c r="M37" t="str">
        <f t="shared" si="0"/>
        <v>Low</v>
      </c>
      <c r="N37">
        <f t="shared" si="1"/>
        <v>265</v>
      </c>
      <c r="O37">
        <f t="shared" si="2"/>
        <v>1</v>
      </c>
      <c r="P37">
        <f t="shared" ca="1" si="3"/>
        <v>113</v>
      </c>
      <c r="Q37">
        <f t="shared" ca="1" si="6"/>
        <v>113</v>
      </c>
      <c r="R37">
        <f t="shared" ca="1" si="7"/>
        <v>378</v>
      </c>
    </row>
    <row r="38" spans="1:18" x14ac:dyDescent="0.3">
      <c r="A38" t="s">
        <v>101</v>
      </c>
      <c r="B38" t="s">
        <v>102</v>
      </c>
      <c r="C38" t="s">
        <v>29</v>
      </c>
      <c r="D38" t="s">
        <v>30</v>
      </c>
      <c r="E38" s="2">
        <v>46031</v>
      </c>
      <c r="F38" s="2">
        <v>46031</v>
      </c>
      <c r="G38" s="2">
        <v>46223</v>
      </c>
      <c r="H38">
        <v>18000</v>
      </c>
      <c r="I38" t="s">
        <v>23</v>
      </c>
      <c r="J38" t="s">
        <v>17</v>
      </c>
      <c r="K38" t="s">
        <v>68</v>
      </c>
      <c r="L38">
        <v>18000</v>
      </c>
      <c r="M38" t="str">
        <f t="shared" si="0"/>
        <v>High</v>
      </c>
      <c r="N38">
        <f t="shared" si="1"/>
        <v>192</v>
      </c>
      <c r="O38">
        <f t="shared" si="2"/>
        <v>0</v>
      </c>
      <c r="P38">
        <f t="shared" ca="1" si="3"/>
        <v>0</v>
      </c>
      <c r="Q38">
        <f t="shared" ca="1" si="6"/>
        <v>0</v>
      </c>
      <c r="R38">
        <f t="shared" ca="1" si="7"/>
        <v>151</v>
      </c>
    </row>
    <row r="39" spans="1:18" x14ac:dyDescent="0.3">
      <c r="A39" t="s">
        <v>103</v>
      </c>
      <c r="B39" t="s">
        <v>104</v>
      </c>
      <c r="C39" t="s">
        <v>14</v>
      </c>
      <c r="D39" t="s">
        <v>45</v>
      </c>
      <c r="E39" s="2">
        <v>45905</v>
      </c>
      <c r="F39" s="2">
        <v>45905</v>
      </c>
      <c r="G39" s="2">
        <v>46134</v>
      </c>
      <c r="H39">
        <v>18000</v>
      </c>
      <c r="I39" t="s">
        <v>23</v>
      </c>
      <c r="J39" t="s">
        <v>35</v>
      </c>
      <c r="K39" t="s">
        <v>26</v>
      </c>
      <c r="L39">
        <v>18000</v>
      </c>
      <c r="M39" t="str">
        <f t="shared" si="0"/>
        <v>High</v>
      </c>
      <c r="N39">
        <f t="shared" si="1"/>
        <v>229</v>
      </c>
      <c r="O39">
        <f t="shared" si="2"/>
        <v>0</v>
      </c>
      <c r="P39">
        <f t="shared" ca="1" si="3"/>
        <v>48</v>
      </c>
      <c r="Q39">
        <f t="shared" ca="1" si="6"/>
        <v>0</v>
      </c>
      <c r="R39">
        <f t="shared" ca="1" si="7"/>
        <v>0</v>
      </c>
    </row>
    <row r="40" spans="1:18" x14ac:dyDescent="0.3">
      <c r="A40" t="s">
        <v>105</v>
      </c>
      <c r="B40" t="s">
        <v>106</v>
      </c>
      <c r="C40" t="s">
        <v>14</v>
      </c>
      <c r="D40" t="s">
        <v>22</v>
      </c>
      <c r="E40" s="2">
        <v>45836</v>
      </c>
      <c r="F40" s="2">
        <v>45836</v>
      </c>
      <c r="G40" s="2">
        <v>46086</v>
      </c>
      <c r="H40">
        <v>12000</v>
      </c>
      <c r="I40" t="s">
        <v>23</v>
      </c>
      <c r="J40" t="s">
        <v>17</v>
      </c>
      <c r="K40" t="s">
        <v>31</v>
      </c>
      <c r="L40">
        <v>12000</v>
      </c>
      <c r="M40" t="str">
        <f t="shared" si="0"/>
        <v>Medium</v>
      </c>
      <c r="N40">
        <f t="shared" si="1"/>
        <v>250</v>
      </c>
      <c r="O40">
        <f t="shared" si="2"/>
        <v>0</v>
      </c>
      <c r="P40">
        <f t="shared" ca="1" si="3"/>
        <v>96</v>
      </c>
      <c r="Q40">
        <f t="shared" ca="1" si="6"/>
        <v>0</v>
      </c>
      <c r="R40">
        <f t="shared" ca="1" si="7"/>
        <v>346</v>
      </c>
    </row>
    <row r="41" spans="1:18" x14ac:dyDescent="0.3">
      <c r="A41" t="s">
        <v>107</v>
      </c>
      <c r="B41" t="s">
        <v>108</v>
      </c>
      <c r="C41" t="s">
        <v>14</v>
      </c>
      <c r="D41" t="s">
        <v>30</v>
      </c>
      <c r="E41" s="2">
        <v>45887</v>
      </c>
      <c r="F41" s="2">
        <v>45887</v>
      </c>
      <c r="G41" s="2">
        <v>46079</v>
      </c>
      <c r="H41">
        <v>8000</v>
      </c>
      <c r="I41" t="s">
        <v>16</v>
      </c>
      <c r="J41" t="s">
        <v>17</v>
      </c>
      <c r="K41" t="s">
        <v>68</v>
      </c>
      <c r="L41">
        <v>8000</v>
      </c>
      <c r="M41" t="str">
        <f t="shared" si="0"/>
        <v>Low</v>
      </c>
      <c r="N41">
        <f t="shared" si="1"/>
        <v>192</v>
      </c>
      <c r="O41">
        <f t="shared" si="2"/>
        <v>1</v>
      </c>
      <c r="P41">
        <f t="shared" ca="1" si="3"/>
        <v>103</v>
      </c>
      <c r="Q41">
        <f t="shared" ca="1" si="6"/>
        <v>103</v>
      </c>
      <c r="R41">
        <f t="shared" ca="1" si="7"/>
        <v>295</v>
      </c>
    </row>
    <row r="42" spans="1:18" x14ac:dyDescent="0.3">
      <c r="A42" t="s">
        <v>109</v>
      </c>
      <c r="B42" t="s">
        <v>110</v>
      </c>
      <c r="C42" t="s">
        <v>29</v>
      </c>
      <c r="D42" t="s">
        <v>22</v>
      </c>
      <c r="E42" s="2">
        <v>46011</v>
      </c>
      <c r="F42" s="2">
        <v>46011</v>
      </c>
      <c r="G42" s="2">
        <v>46280</v>
      </c>
      <c r="H42">
        <v>12000</v>
      </c>
      <c r="I42" t="s">
        <v>23</v>
      </c>
      <c r="J42" t="s">
        <v>35</v>
      </c>
      <c r="K42" t="s">
        <v>68</v>
      </c>
      <c r="L42">
        <v>12000</v>
      </c>
      <c r="M42" t="str">
        <f t="shared" si="0"/>
        <v>Medium</v>
      </c>
      <c r="N42">
        <f t="shared" si="1"/>
        <v>269</v>
      </c>
      <c r="O42">
        <f t="shared" si="2"/>
        <v>0</v>
      </c>
      <c r="P42">
        <f t="shared" ca="1" si="3"/>
        <v>0</v>
      </c>
      <c r="Q42">
        <f t="shared" ca="1" si="6"/>
        <v>0</v>
      </c>
      <c r="R42">
        <f t="shared" ca="1" si="7"/>
        <v>0</v>
      </c>
    </row>
    <row r="43" spans="1:18" x14ac:dyDescent="0.3">
      <c r="A43" t="s">
        <v>111</v>
      </c>
      <c r="B43" t="s">
        <v>112</v>
      </c>
      <c r="C43" t="s">
        <v>21</v>
      </c>
      <c r="D43" t="s">
        <v>45</v>
      </c>
      <c r="E43" s="2">
        <v>46101</v>
      </c>
      <c r="F43" s="2">
        <v>46101</v>
      </c>
      <c r="G43" s="2">
        <v>46252</v>
      </c>
      <c r="H43">
        <v>12000</v>
      </c>
      <c r="I43" t="s">
        <v>16</v>
      </c>
      <c r="J43" t="s">
        <v>35</v>
      </c>
      <c r="K43" t="s">
        <v>68</v>
      </c>
      <c r="L43">
        <v>12000</v>
      </c>
      <c r="M43" t="str">
        <f t="shared" si="0"/>
        <v>Medium</v>
      </c>
      <c r="N43">
        <f t="shared" si="1"/>
        <v>151</v>
      </c>
      <c r="O43">
        <f t="shared" si="2"/>
        <v>1</v>
      </c>
      <c r="P43">
        <f t="shared" ca="1" si="3"/>
        <v>0</v>
      </c>
      <c r="Q43">
        <f t="shared" ca="1" si="6"/>
        <v>0</v>
      </c>
      <c r="R43">
        <f t="shared" ca="1" si="7"/>
        <v>0</v>
      </c>
    </row>
    <row r="44" spans="1:18" x14ac:dyDescent="0.3">
      <c r="A44" t="s">
        <v>113</v>
      </c>
      <c r="B44" t="s">
        <v>114</v>
      </c>
      <c r="C44" t="s">
        <v>38</v>
      </c>
      <c r="D44" t="s">
        <v>30</v>
      </c>
      <c r="E44" s="2">
        <v>46093</v>
      </c>
      <c r="F44" s="2">
        <v>46093</v>
      </c>
      <c r="G44" s="2">
        <v>46351</v>
      </c>
      <c r="H44">
        <v>15000</v>
      </c>
      <c r="I44" t="s">
        <v>23</v>
      </c>
      <c r="J44" t="s">
        <v>17</v>
      </c>
      <c r="K44" t="s">
        <v>26</v>
      </c>
      <c r="L44">
        <v>15000</v>
      </c>
      <c r="M44" t="str">
        <f t="shared" si="0"/>
        <v>High</v>
      </c>
      <c r="N44">
        <f t="shared" si="1"/>
        <v>258</v>
      </c>
      <c r="O44">
        <f t="shared" si="2"/>
        <v>0</v>
      </c>
      <c r="P44">
        <f t="shared" ca="1" si="3"/>
        <v>0</v>
      </c>
      <c r="Q44">
        <f t="shared" ca="1" si="6"/>
        <v>0</v>
      </c>
      <c r="R44">
        <f t="shared" ca="1" si="7"/>
        <v>89</v>
      </c>
    </row>
    <row r="45" spans="1:18" x14ac:dyDescent="0.3">
      <c r="A45" t="s">
        <v>115</v>
      </c>
      <c r="B45" t="s">
        <v>116</v>
      </c>
      <c r="C45" t="s">
        <v>14</v>
      </c>
      <c r="D45" t="s">
        <v>30</v>
      </c>
      <c r="E45" s="2">
        <v>45763</v>
      </c>
      <c r="F45" s="2">
        <v>45763</v>
      </c>
      <c r="G45" s="2">
        <v>46170</v>
      </c>
      <c r="H45">
        <v>10000</v>
      </c>
      <c r="I45" t="s">
        <v>16</v>
      </c>
      <c r="J45" t="s">
        <v>17</v>
      </c>
      <c r="K45" t="s">
        <v>31</v>
      </c>
      <c r="L45">
        <v>10000</v>
      </c>
      <c r="M45" t="str">
        <f t="shared" si="0"/>
        <v>Medium</v>
      </c>
      <c r="N45">
        <f t="shared" si="1"/>
        <v>407</v>
      </c>
      <c r="O45">
        <f t="shared" si="2"/>
        <v>1</v>
      </c>
      <c r="P45">
        <f t="shared" ca="1" si="3"/>
        <v>12</v>
      </c>
      <c r="Q45">
        <f t="shared" ca="1" si="6"/>
        <v>12</v>
      </c>
      <c r="R45">
        <f t="shared" ca="1" si="7"/>
        <v>419</v>
      </c>
    </row>
    <row r="46" spans="1:18" x14ac:dyDescent="0.3">
      <c r="A46" t="s">
        <v>117</v>
      </c>
      <c r="B46" t="s">
        <v>118</v>
      </c>
      <c r="C46" t="s">
        <v>14</v>
      </c>
      <c r="D46" t="s">
        <v>22</v>
      </c>
      <c r="E46" s="2">
        <v>45892</v>
      </c>
      <c r="F46" s="2">
        <v>45892</v>
      </c>
      <c r="G46" s="2">
        <v>46157</v>
      </c>
      <c r="H46">
        <v>8000</v>
      </c>
      <c r="I46" t="s">
        <v>23</v>
      </c>
      <c r="J46" t="s">
        <v>35</v>
      </c>
      <c r="K46" t="s">
        <v>26</v>
      </c>
      <c r="L46">
        <v>8000</v>
      </c>
      <c r="M46" t="str">
        <f t="shared" si="0"/>
        <v>Low</v>
      </c>
      <c r="N46">
        <f t="shared" si="1"/>
        <v>265</v>
      </c>
      <c r="O46">
        <f t="shared" si="2"/>
        <v>0</v>
      </c>
      <c r="P46">
        <f t="shared" ca="1" si="3"/>
        <v>25</v>
      </c>
      <c r="Q46">
        <f t="shared" ca="1" si="6"/>
        <v>0</v>
      </c>
      <c r="R46">
        <f t="shared" ca="1" si="7"/>
        <v>0</v>
      </c>
    </row>
    <row r="47" spans="1:18" x14ac:dyDescent="0.3">
      <c r="A47" t="s">
        <v>119</v>
      </c>
      <c r="B47" t="s">
        <v>120</v>
      </c>
      <c r="C47" t="s">
        <v>14</v>
      </c>
      <c r="D47" t="s">
        <v>30</v>
      </c>
      <c r="E47" s="2">
        <v>45895</v>
      </c>
      <c r="F47" s="2">
        <v>45895</v>
      </c>
      <c r="G47" s="2">
        <v>46073</v>
      </c>
      <c r="H47">
        <v>8000</v>
      </c>
      <c r="I47" t="s">
        <v>16</v>
      </c>
      <c r="J47" t="s">
        <v>17</v>
      </c>
      <c r="K47" t="s">
        <v>31</v>
      </c>
      <c r="L47">
        <v>8000</v>
      </c>
      <c r="M47" t="str">
        <f t="shared" si="0"/>
        <v>Low</v>
      </c>
      <c r="N47">
        <f t="shared" si="1"/>
        <v>178</v>
      </c>
      <c r="O47">
        <f t="shared" si="2"/>
        <v>1</v>
      </c>
      <c r="P47">
        <f t="shared" ca="1" si="3"/>
        <v>109</v>
      </c>
      <c r="Q47">
        <f t="shared" ca="1" si="6"/>
        <v>109</v>
      </c>
      <c r="R47">
        <f t="shared" ca="1" si="7"/>
        <v>287</v>
      </c>
    </row>
    <row r="48" spans="1:18" x14ac:dyDescent="0.3">
      <c r="A48" t="s">
        <v>121</v>
      </c>
      <c r="B48" t="s">
        <v>122</v>
      </c>
      <c r="C48" t="s">
        <v>14</v>
      </c>
      <c r="D48" t="s">
        <v>30</v>
      </c>
      <c r="E48" s="2">
        <v>46130</v>
      </c>
      <c r="F48" s="2">
        <v>46130</v>
      </c>
      <c r="G48" s="2">
        <v>46455</v>
      </c>
      <c r="H48">
        <v>10000</v>
      </c>
      <c r="I48" t="s">
        <v>23</v>
      </c>
      <c r="J48" t="s">
        <v>35</v>
      </c>
      <c r="K48" t="s">
        <v>18</v>
      </c>
      <c r="L48">
        <v>10000</v>
      </c>
      <c r="M48" t="str">
        <f t="shared" si="0"/>
        <v>Medium</v>
      </c>
      <c r="N48">
        <f t="shared" si="1"/>
        <v>325</v>
      </c>
      <c r="O48">
        <f t="shared" si="2"/>
        <v>0</v>
      </c>
      <c r="P48">
        <f t="shared" ca="1" si="3"/>
        <v>0</v>
      </c>
      <c r="Q48">
        <f t="shared" ca="1" si="6"/>
        <v>0</v>
      </c>
      <c r="R48">
        <f t="shared" ca="1" si="7"/>
        <v>0</v>
      </c>
    </row>
    <row r="49" spans="1:18" x14ac:dyDescent="0.3">
      <c r="A49" t="s">
        <v>123</v>
      </c>
      <c r="B49" t="s">
        <v>124</v>
      </c>
      <c r="C49" t="s">
        <v>21</v>
      </c>
      <c r="D49" t="s">
        <v>30</v>
      </c>
      <c r="E49" s="2">
        <v>45903</v>
      </c>
      <c r="F49" s="2">
        <v>45903</v>
      </c>
      <c r="G49" s="2">
        <v>46166</v>
      </c>
      <c r="H49">
        <v>12000</v>
      </c>
      <c r="I49" t="s">
        <v>23</v>
      </c>
      <c r="J49" t="s">
        <v>17</v>
      </c>
      <c r="K49" t="s">
        <v>31</v>
      </c>
      <c r="L49">
        <v>12000</v>
      </c>
      <c r="M49" t="str">
        <f t="shared" si="0"/>
        <v>Medium</v>
      </c>
      <c r="N49">
        <f t="shared" si="1"/>
        <v>263</v>
      </c>
      <c r="O49">
        <f t="shared" si="2"/>
        <v>0</v>
      </c>
      <c r="P49">
        <f t="shared" ca="1" si="3"/>
        <v>16</v>
      </c>
      <c r="Q49">
        <f t="shared" ca="1" si="6"/>
        <v>0</v>
      </c>
      <c r="R49">
        <f t="shared" ca="1" si="7"/>
        <v>279</v>
      </c>
    </row>
    <row r="50" spans="1:18" x14ac:dyDescent="0.3">
      <c r="A50" t="s">
        <v>125</v>
      </c>
      <c r="B50" t="s">
        <v>126</v>
      </c>
      <c r="C50" t="s">
        <v>38</v>
      </c>
      <c r="D50" t="s">
        <v>30</v>
      </c>
      <c r="E50" s="2">
        <v>45918</v>
      </c>
      <c r="F50" s="2">
        <v>45918</v>
      </c>
      <c r="G50" s="2">
        <v>46179</v>
      </c>
      <c r="H50">
        <v>8000</v>
      </c>
      <c r="I50" t="s">
        <v>23</v>
      </c>
      <c r="J50" t="s">
        <v>35</v>
      </c>
      <c r="K50" t="s">
        <v>18</v>
      </c>
      <c r="L50">
        <v>8000</v>
      </c>
      <c r="M50" t="str">
        <f t="shared" si="0"/>
        <v>Low</v>
      </c>
      <c r="N50">
        <f t="shared" si="1"/>
        <v>261</v>
      </c>
      <c r="O50">
        <f t="shared" si="2"/>
        <v>0</v>
      </c>
      <c r="P50">
        <f t="shared" ca="1" si="3"/>
        <v>3</v>
      </c>
      <c r="Q50">
        <f t="shared" ca="1" si="6"/>
        <v>0</v>
      </c>
      <c r="R50">
        <f t="shared" ca="1" si="7"/>
        <v>0</v>
      </c>
    </row>
    <row r="51" spans="1:18" x14ac:dyDescent="0.3">
      <c r="A51" t="s">
        <v>127</v>
      </c>
      <c r="B51" t="s">
        <v>128</v>
      </c>
      <c r="C51" t="s">
        <v>21</v>
      </c>
      <c r="D51" t="s">
        <v>30</v>
      </c>
      <c r="E51" s="2">
        <v>46153</v>
      </c>
      <c r="F51" s="2">
        <v>46152</v>
      </c>
      <c r="G51" s="2">
        <v>46342</v>
      </c>
      <c r="H51">
        <v>15000</v>
      </c>
      <c r="I51" t="s">
        <v>23</v>
      </c>
      <c r="J51" t="s">
        <v>17</v>
      </c>
      <c r="K51" t="s">
        <v>31</v>
      </c>
      <c r="L51">
        <v>15000</v>
      </c>
      <c r="M51" t="str">
        <f t="shared" si="0"/>
        <v>High</v>
      </c>
      <c r="N51">
        <f t="shared" si="1"/>
        <v>189</v>
      </c>
      <c r="O51">
        <f t="shared" si="2"/>
        <v>0</v>
      </c>
      <c r="P51">
        <f t="shared" ca="1" si="3"/>
        <v>0</v>
      </c>
      <c r="Q51">
        <f t="shared" ca="1" si="6"/>
        <v>0</v>
      </c>
      <c r="R51">
        <f t="shared" ca="1" si="7"/>
        <v>29</v>
      </c>
    </row>
    <row r="52" spans="1:18" x14ac:dyDescent="0.3">
      <c r="A52" t="s">
        <v>129</v>
      </c>
      <c r="B52" t="s">
        <v>130</v>
      </c>
      <c r="C52" t="s">
        <v>29</v>
      </c>
      <c r="D52" t="s">
        <v>22</v>
      </c>
      <c r="E52" s="2">
        <v>45876</v>
      </c>
      <c r="F52" s="2">
        <v>45876</v>
      </c>
      <c r="G52" s="2">
        <v>46196</v>
      </c>
      <c r="H52">
        <v>15000</v>
      </c>
      <c r="I52" t="s">
        <v>23</v>
      </c>
      <c r="J52" t="s">
        <v>17</v>
      </c>
      <c r="K52" t="s">
        <v>26</v>
      </c>
      <c r="L52">
        <v>15000</v>
      </c>
      <c r="M52" t="str">
        <f t="shared" si="0"/>
        <v>High</v>
      </c>
      <c r="N52">
        <f t="shared" si="1"/>
        <v>320</v>
      </c>
      <c r="O52">
        <f t="shared" si="2"/>
        <v>0</v>
      </c>
      <c r="P52">
        <f t="shared" ca="1" si="3"/>
        <v>0</v>
      </c>
      <c r="Q52">
        <f t="shared" ca="1" si="6"/>
        <v>0</v>
      </c>
      <c r="R52">
        <f t="shared" ca="1" si="7"/>
        <v>306</v>
      </c>
    </row>
    <row r="53" spans="1:18" x14ac:dyDescent="0.3">
      <c r="A53" t="s">
        <v>131</v>
      </c>
      <c r="B53" t="s">
        <v>132</v>
      </c>
      <c r="C53" t="s">
        <v>21</v>
      </c>
      <c r="D53" t="s">
        <v>30</v>
      </c>
      <c r="E53" s="2">
        <v>46002</v>
      </c>
      <c r="F53" s="2">
        <v>46002</v>
      </c>
      <c r="G53" s="2">
        <v>46335</v>
      </c>
      <c r="H53">
        <v>10000</v>
      </c>
      <c r="I53" t="s">
        <v>16</v>
      </c>
      <c r="J53" t="s">
        <v>17</v>
      </c>
      <c r="K53" t="s">
        <v>31</v>
      </c>
      <c r="L53">
        <v>10000</v>
      </c>
      <c r="M53" t="str">
        <f t="shared" si="0"/>
        <v>Medium</v>
      </c>
      <c r="N53">
        <f t="shared" si="1"/>
        <v>333</v>
      </c>
      <c r="O53">
        <f t="shared" si="2"/>
        <v>1</v>
      </c>
      <c r="P53">
        <f t="shared" ca="1" si="3"/>
        <v>0</v>
      </c>
      <c r="Q53">
        <f t="shared" ca="1" si="6"/>
        <v>0</v>
      </c>
      <c r="R53">
        <f t="shared" ca="1" si="7"/>
        <v>180</v>
      </c>
    </row>
    <row r="54" spans="1:18" x14ac:dyDescent="0.3">
      <c r="A54" t="s">
        <v>133</v>
      </c>
      <c r="B54" t="s">
        <v>134</v>
      </c>
      <c r="C54" t="s">
        <v>29</v>
      </c>
      <c r="D54" t="s">
        <v>30</v>
      </c>
      <c r="E54" s="2">
        <v>45836</v>
      </c>
      <c r="F54" s="2">
        <v>45836</v>
      </c>
      <c r="G54" s="2">
        <v>46009</v>
      </c>
      <c r="H54">
        <v>10000</v>
      </c>
      <c r="I54" t="s">
        <v>16</v>
      </c>
      <c r="J54" t="s">
        <v>17</v>
      </c>
      <c r="K54" t="s">
        <v>18</v>
      </c>
      <c r="L54">
        <v>10000</v>
      </c>
      <c r="M54" t="str">
        <f t="shared" si="0"/>
        <v>Medium</v>
      </c>
      <c r="N54">
        <f t="shared" si="1"/>
        <v>173</v>
      </c>
      <c r="O54">
        <f t="shared" si="2"/>
        <v>1</v>
      </c>
      <c r="P54">
        <f t="shared" ca="1" si="3"/>
        <v>173</v>
      </c>
      <c r="Q54">
        <f t="shared" ca="1" si="6"/>
        <v>173</v>
      </c>
      <c r="R54">
        <f t="shared" ca="1" si="7"/>
        <v>346</v>
      </c>
    </row>
    <row r="55" spans="1:18" x14ac:dyDescent="0.3">
      <c r="A55" t="s">
        <v>135</v>
      </c>
      <c r="B55" t="s">
        <v>136</v>
      </c>
      <c r="C55" t="s">
        <v>21</v>
      </c>
      <c r="D55" t="s">
        <v>30</v>
      </c>
      <c r="E55" s="2">
        <v>46073</v>
      </c>
      <c r="F55" s="2">
        <v>46073</v>
      </c>
      <c r="G55" s="2">
        <v>46424</v>
      </c>
      <c r="H55">
        <v>8000</v>
      </c>
      <c r="I55" t="s">
        <v>16</v>
      </c>
      <c r="J55" t="s">
        <v>35</v>
      </c>
      <c r="K55" t="s">
        <v>26</v>
      </c>
      <c r="L55">
        <v>8000</v>
      </c>
      <c r="M55" t="str">
        <f t="shared" si="0"/>
        <v>Low</v>
      </c>
      <c r="N55">
        <f t="shared" si="1"/>
        <v>351</v>
      </c>
      <c r="O55">
        <f t="shared" si="2"/>
        <v>1</v>
      </c>
      <c r="P55">
        <f t="shared" ca="1" si="3"/>
        <v>0</v>
      </c>
      <c r="Q55">
        <f t="shared" ca="1" si="6"/>
        <v>0</v>
      </c>
      <c r="R55">
        <f t="shared" ca="1" si="7"/>
        <v>0</v>
      </c>
    </row>
    <row r="56" spans="1:18" x14ac:dyDescent="0.3">
      <c r="A56" t="s">
        <v>137</v>
      </c>
      <c r="B56" t="s">
        <v>138</v>
      </c>
      <c r="C56" t="s">
        <v>38</v>
      </c>
      <c r="D56" t="s">
        <v>30</v>
      </c>
      <c r="E56" s="2">
        <v>46044</v>
      </c>
      <c r="F56" s="2">
        <v>46044</v>
      </c>
      <c r="G56" s="2">
        <v>46319</v>
      </c>
      <c r="H56">
        <v>8000</v>
      </c>
      <c r="I56" t="s">
        <v>16</v>
      </c>
      <c r="J56" t="s">
        <v>17</v>
      </c>
      <c r="K56" t="s">
        <v>68</v>
      </c>
      <c r="L56">
        <v>8000</v>
      </c>
      <c r="M56" t="str">
        <f t="shared" si="0"/>
        <v>Low</v>
      </c>
      <c r="N56">
        <f t="shared" si="1"/>
        <v>275</v>
      </c>
      <c r="O56">
        <f t="shared" si="2"/>
        <v>1</v>
      </c>
      <c r="P56">
        <f t="shared" ca="1" si="3"/>
        <v>0</v>
      </c>
      <c r="Q56">
        <f t="shared" ca="1" si="6"/>
        <v>0</v>
      </c>
      <c r="R56">
        <f t="shared" ca="1" si="7"/>
        <v>138</v>
      </c>
    </row>
    <row r="57" spans="1:18" x14ac:dyDescent="0.3">
      <c r="A57" t="s">
        <v>139</v>
      </c>
      <c r="B57" t="s">
        <v>140</v>
      </c>
      <c r="C57" t="s">
        <v>21</v>
      </c>
      <c r="D57" t="s">
        <v>30</v>
      </c>
      <c r="E57" s="2">
        <v>45938</v>
      </c>
      <c r="F57" s="2">
        <v>45938</v>
      </c>
      <c r="G57" s="2">
        <v>46111</v>
      </c>
      <c r="H57">
        <v>12000</v>
      </c>
      <c r="I57" t="s">
        <v>16</v>
      </c>
      <c r="J57" t="s">
        <v>17</v>
      </c>
      <c r="K57" t="s">
        <v>68</v>
      </c>
      <c r="L57">
        <v>12000</v>
      </c>
      <c r="M57" t="str">
        <f t="shared" si="0"/>
        <v>Medium</v>
      </c>
      <c r="N57">
        <f t="shared" si="1"/>
        <v>173</v>
      </c>
      <c r="O57">
        <f t="shared" si="2"/>
        <v>1</v>
      </c>
      <c r="P57">
        <f t="shared" ca="1" si="3"/>
        <v>71</v>
      </c>
      <c r="Q57">
        <f t="shared" ca="1" si="6"/>
        <v>71</v>
      </c>
      <c r="R57">
        <f t="shared" ca="1" si="7"/>
        <v>244</v>
      </c>
    </row>
    <row r="58" spans="1:18" x14ac:dyDescent="0.3">
      <c r="A58" t="s">
        <v>141</v>
      </c>
      <c r="B58" t="s">
        <v>142</v>
      </c>
      <c r="C58" t="s">
        <v>38</v>
      </c>
      <c r="D58" t="s">
        <v>22</v>
      </c>
      <c r="E58" s="2">
        <v>45980</v>
      </c>
      <c r="F58" s="2">
        <v>45980</v>
      </c>
      <c r="G58" s="2">
        <v>46076</v>
      </c>
      <c r="H58">
        <v>12000</v>
      </c>
      <c r="I58" t="s">
        <v>16</v>
      </c>
      <c r="J58" t="s">
        <v>17</v>
      </c>
      <c r="K58" t="s">
        <v>26</v>
      </c>
      <c r="L58">
        <v>12000</v>
      </c>
      <c r="M58" t="str">
        <f t="shared" si="0"/>
        <v>Medium</v>
      </c>
      <c r="N58">
        <f t="shared" si="1"/>
        <v>96</v>
      </c>
      <c r="O58">
        <f t="shared" si="2"/>
        <v>1</v>
      </c>
      <c r="P58">
        <f t="shared" ca="1" si="3"/>
        <v>106</v>
      </c>
      <c r="Q58">
        <f t="shared" ca="1" si="6"/>
        <v>106</v>
      </c>
      <c r="R58">
        <f t="shared" ca="1" si="7"/>
        <v>202</v>
      </c>
    </row>
    <row r="59" spans="1:18" x14ac:dyDescent="0.3">
      <c r="A59" t="s">
        <v>143</v>
      </c>
      <c r="B59" t="s">
        <v>144</v>
      </c>
      <c r="C59" t="s">
        <v>21</v>
      </c>
      <c r="D59" t="s">
        <v>30</v>
      </c>
      <c r="E59" s="2">
        <v>46127</v>
      </c>
      <c r="F59" s="2">
        <v>46127</v>
      </c>
      <c r="G59" s="2">
        <v>46237</v>
      </c>
      <c r="H59">
        <v>15000</v>
      </c>
      <c r="I59" t="s">
        <v>16</v>
      </c>
      <c r="J59" t="s">
        <v>17</v>
      </c>
      <c r="K59" t="s">
        <v>18</v>
      </c>
      <c r="L59">
        <v>15000</v>
      </c>
      <c r="M59" t="str">
        <f t="shared" si="0"/>
        <v>High</v>
      </c>
      <c r="N59">
        <f t="shared" si="1"/>
        <v>110</v>
      </c>
      <c r="O59">
        <f t="shared" si="2"/>
        <v>1</v>
      </c>
      <c r="P59">
        <f t="shared" ca="1" si="3"/>
        <v>0</v>
      </c>
      <c r="Q59">
        <f t="shared" ca="1" si="6"/>
        <v>0</v>
      </c>
      <c r="R59">
        <f t="shared" ca="1" si="7"/>
        <v>55</v>
      </c>
    </row>
    <row r="60" spans="1:18" x14ac:dyDescent="0.3">
      <c r="A60" t="s">
        <v>145</v>
      </c>
      <c r="B60" t="s">
        <v>146</v>
      </c>
      <c r="C60" t="s">
        <v>29</v>
      </c>
      <c r="D60" t="s">
        <v>22</v>
      </c>
      <c r="E60" s="2">
        <v>45759</v>
      </c>
      <c r="F60" s="2">
        <v>45759</v>
      </c>
      <c r="G60" s="2">
        <v>46143</v>
      </c>
      <c r="H60">
        <v>15000</v>
      </c>
      <c r="I60" t="s">
        <v>16</v>
      </c>
      <c r="J60" t="s">
        <v>35</v>
      </c>
      <c r="K60" t="s">
        <v>68</v>
      </c>
      <c r="L60">
        <v>15000</v>
      </c>
      <c r="M60" t="str">
        <f t="shared" si="0"/>
        <v>High</v>
      </c>
      <c r="N60">
        <f t="shared" si="1"/>
        <v>384</v>
      </c>
      <c r="O60">
        <f t="shared" si="2"/>
        <v>1</v>
      </c>
      <c r="P60">
        <f t="shared" ca="1" si="3"/>
        <v>39</v>
      </c>
      <c r="Q60">
        <f t="shared" ca="1" si="6"/>
        <v>39</v>
      </c>
      <c r="R60">
        <f t="shared" ca="1" si="7"/>
        <v>0</v>
      </c>
    </row>
    <row r="61" spans="1:18" x14ac:dyDescent="0.3">
      <c r="A61" t="s">
        <v>147</v>
      </c>
      <c r="B61" t="s">
        <v>148</v>
      </c>
      <c r="C61" t="s">
        <v>38</v>
      </c>
      <c r="D61" t="s">
        <v>30</v>
      </c>
      <c r="E61" s="2">
        <v>45680</v>
      </c>
      <c r="F61" s="2">
        <v>45680</v>
      </c>
      <c r="G61" s="2">
        <v>45801</v>
      </c>
      <c r="H61">
        <v>10000</v>
      </c>
      <c r="I61" t="s">
        <v>23</v>
      </c>
      <c r="J61" t="s">
        <v>17</v>
      </c>
      <c r="K61" t="s">
        <v>18</v>
      </c>
      <c r="L61">
        <v>10000</v>
      </c>
      <c r="M61" t="str">
        <f t="shared" si="0"/>
        <v>Medium</v>
      </c>
      <c r="N61">
        <f t="shared" si="1"/>
        <v>121</v>
      </c>
      <c r="O61">
        <f t="shared" si="2"/>
        <v>0</v>
      </c>
      <c r="P61">
        <f t="shared" ca="1" si="3"/>
        <v>381</v>
      </c>
      <c r="Q61">
        <f t="shared" ca="1" si="6"/>
        <v>0</v>
      </c>
      <c r="R61">
        <f t="shared" ca="1" si="7"/>
        <v>502</v>
      </c>
    </row>
    <row r="62" spans="1:18" x14ac:dyDescent="0.3">
      <c r="A62" t="s">
        <v>149</v>
      </c>
      <c r="B62" t="s">
        <v>150</v>
      </c>
      <c r="C62" t="s">
        <v>14</v>
      </c>
      <c r="D62" t="s">
        <v>30</v>
      </c>
      <c r="E62" s="2">
        <v>45709</v>
      </c>
      <c r="F62" s="2">
        <v>45709</v>
      </c>
      <c r="G62" s="2">
        <v>45999</v>
      </c>
      <c r="H62">
        <v>10000</v>
      </c>
      <c r="I62" t="s">
        <v>16</v>
      </c>
      <c r="J62" t="s">
        <v>35</v>
      </c>
      <c r="K62" t="s">
        <v>31</v>
      </c>
      <c r="L62">
        <v>10000</v>
      </c>
      <c r="M62" t="str">
        <f t="shared" si="0"/>
        <v>Medium</v>
      </c>
      <c r="N62">
        <f t="shared" si="1"/>
        <v>290</v>
      </c>
      <c r="O62">
        <f t="shared" si="2"/>
        <v>1</v>
      </c>
      <c r="P62">
        <f t="shared" ca="1" si="3"/>
        <v>183</v>
      </c>
      <c r="Q62">
        <f t="shared" ca="1" si="6"/>
        <v>183</v>
      </c>
      <c r="R62">
        <f t="shared" ca="1" si="7"/>
        <v>0</v>
      </c>
    </row>
    <row r="63" spans="1:18" x14ac:dyDescent="0.3">
      <c r="A63" t="s">
        <v>151</v>
      </c>
      <c r="B63" t="s">
        <v>152</v>
      </c>
      <c r="C63" t="s">
        <v>29</v>
      </c>
      <c r="D63" t="s">
        <v>22</v>
      </c>
      <c r="E63" s="2">
        <v>45810</v>
      </c>
      <c r="F63" s="2">
        <v>45810</v>
      </c>
      <c r="G63" s="2">
        <v>46074</v>
      </c>
      <c r="H63">
        <v>15000</v>
      </c>
      <c r="I63" t="s">
        <v>23</v>
      </c>
      <c r="J63" t="s">
        <v>17</v>
      </c>
      <c r="K63" t="s">
        <v>18</v>
      </c>
      <c r="L63">
        <v>15000</v>
      </c>
      <c r="M63" t="str">
        <f t="shared" si="0"/>
        <v>High</v>
      </c>
      <c r="N63">
        <f t="shared" si="1"/>
        <v>264</v>
      </c>
      <c r="O63">
        <f t="shared" si="2"/>
        <v>0</v>
      </c>
      <c r="P63">
        <f t="shared" ca="1" si="3"/>
        <v>108</v>
      </c>
      <c r="Q63">
        <f t="shared" ca="1" si="6"/>
        <v>0</v>
      </c>
      <c r="R63">
        <f t="shared" ca="1" si="7"/>
        <v>372</v>
      </c>
    </row>
    <row r="64" spans="1:18" x14ac:dyDescent="0.3">
      <c r="A64" t="s">
        <v>153</v>
      </c>
      <c r="B64" t="s">
        <v>154</v>
      </c>
      <c r="C64" t="s">
        <v>14</v>
      </c>
      <c r="D64" t="s">
        <v>22</v>
      </c>
      <c r="E64" s="2">
        <v>45814</v>
      </c>
      <c r="F64" s="2">
        <v>45814</v>
      </c>
      <c r="G64" s="2">
        <v>46040</v>
      </c>
      <c r="H64">
        <v>10000</v>
      </c>
      <c r="I64" t="s">
        <v>16</v>
      </c>
      <c r="J64" t="s">
        <v>17</v>
      </c>
      <c r="K64" t="s">
        <v>31</v>
      </c>
      <c r="L64">
        <v>10000</v>
      </c>
      <c r="M64" t="str">
        <f t="shared" si="0"/>
        <v>Medium</v>
      </c>
      <c r="N64">
        <f t="shared" si="1"/>
        <v>226</v>
      </c>
      <c r="O64">
        <f t="shared" si="2"/>
        <v>1</v>
      </c>
      <c r="P64">
        <f t="shared" ca="1" si="3"/>
        <v>142</v>
      </c>
      <c r="Q64">
        <f t="shared" ca="1" si="6"/>
        <v>142</v>
      </c>
      <c r="R64">
        <f t="shared" ca="1" si="7"/>
        <v>368</v>
      </c>
    </row>
    <row r="65" spans="1:18" x14ac:dyDescent="0.3">
      <c r="A65" t="s">
        <v>155</v>
      </c>
      <c r="B65" t="s">
        <v>156</v>
      </c>
      <c r="C65" t="s">
        <v>38</v>
      </c>
      <c r="D65" t="s">
        <v>30</v>
      </c>
      <c r="E65" s="2">
        <v>45920</v>
      </c>
      <c r="F65" s="2">
        <v>45920</v>
      </c>
      <c r="G65" s="2">
        <v>46128</v>
      </c>
      <c r="H65">
        <v>12000</v>
      </c>
      <c r="I65" t="s">
        <v>23</v>
      </c>
      <c r="J65" t="s">
        <v>17</v>
      </c>
      <c r="K65" t="s">
        <v>31</v>
      </c>
      <c r="L65">
        <v>12000</v>
      </c>
      <c r="M65" t="str">
        <f t="shared" si="0"/>
        <v>Medium</v>
      </c>
      <c r="N65">
        <f t="shared" si="1"/>
        <v>208</v>
      </c>
      <c r="O65">
        <f t="shared" si="2"/>
        <v>0</v>
      </c>
      <c r="P65">
        <f t="shared" ca="1" si="3"/>
        <v>54</v>
      </c>
      <c r="Q65">
        <f t="shared" ca="1" si="6"/>
        <v>0</v>
      </c>
      <c r="R65">
        <f t="shared" ca="1" si="7"/>
        <v>262</v>
      </c>
    </row>
    <row r="66" spans="1:18" x14ac:dyDescent="0.3">
      <c r="A66" t="s">
        <v>157</v>
      </c>
      <c r="B66" t="s">
        <v>158</v>
      </c>
      <c r="C66" t="s">
        <v>21</v>
      </c>
      <c r="D66" t="s">
        <v>30</v>
      </c>
      <c r="E66" s="2">
        <v>45870</v>
      </c>
      <c r="F66" s="2">
        <v>45870</v>
      </c>
      <c r="G66" s="2">
        <v>46107</v>
      </c>
      <c r="H66">
        <v>12000</v>
      </c>
      <c r="I66" t="s">
        <v>16</v>
      </c>
      <c r="J66" t="s">
        <v>17</v>
      </c>
      <c r="K66" t="s">
        <v>26</v>
      </c>
      <c r="L66">
        <v>12000</v>
      </c>
      <c r="M66" t="str">
        <f t="shared" ref="M66:M129" si="8">IF(H66&gt;=15000,"High",IF(H66&gt;=10000,"Medium","Low"))</f>
        <v>Medium</v>
      </c>
      <c r="N66">
        <f t="shared" ref="N66:N129" si="9">G66-E66</f>
        <v>237</v>
      </c>
      <c r="O66">
        <f t="shared" ref="O66:O129" si="10">IF(I66="Occupied",1,0)</f>
        <v>1</v>
      </c>
      <c r="P66">
        <f t="shared" ref="P66:P129" ca="1" si="11">IF(G66&lt;TODAY(),TODAY()-G66,0)</f>
        <v>75</v>
      </c>
      <c r="Q66">
        <f t="shared" ref="Q66:Q97" ca="1" si="12">IF(AND(G66&lt;TODAY(),I66="Occupied"),TODAY()-G66,0)</f>
        <v>75</v>
      </c>
      <c r="R66">
        <f t="shared" ref="R66:R97" ca="1" si="13">IF(AND(J66="Pending",E66&lt;TODAY()),TODAY()-E66,0)</f>
        <v>312</v>
      </c>
    </row>
    <row r="67" spans="1:18" x14ac:dyDescent="0.3">
      <c r="A67" t="s">
        <v>159</v>
      </c>
      <c r="B67" t="s">
        <v>160</v>
      </c>
      <c r="C67" t="s">
        <v>21</v>
      </c>
      <c r="D67" t="s">
        <v>30</v>
      </c>
      <c r="E67" s="2">
        <v>45875</v>
      </c>
      <c r="F67" s="2">
        <v>45875</v>
      </c>
      <c r="G67" s="2">
        <v>46229</v>
      </c>
      <c r="H67">
        <v>15000</v>
      </c>
      <c r="I67" t="s">
        <v>23</v>
      </c>
      <c r="J67" t="s">
        <v>17</v>
      </c>
      <c r="K67" t="s">
        <v>68</v>
      </c>
      <c r="L67">
        <v>15000</v>
      </c>
      <c r="M67" t="str">
        <f t="shared" si="8"/>
        <v>High</v>
      </c>
      <c r="N67">
        <f t="shared" si="9"/>
        <v>354</v>
      </c>
      <c r="O67">
        <f t="shared" si="10"/>
        <v>0</v>
      </c>
      <c r="P67">
        <f t="shared" ca="1" si="11"/>
        <v>0</v>
      </c>
      <c r="Q67">
        <f t="shared" ca="1" si="12"/>
        <v>0</v>
      </c>
      <c r="R67">
        <f t="shared" ca="1" si="13"/>
        <v>307</v>
      </c>
    </row>
    <row r="68" spans="1:18" x14ac:dyDescent="0.3">
      <c r="A68" t="s">
        <v>161</v>
      </c>
      <c r="B68" t="s">
        <v>162</v>
      </c>
      <c r="C68" t="s">
        <v>38</v>
      </c>
      <c r="D68" t="s">
        <v>30</v>
      </c>
      <c r="E68" s="2">
        <v>46159</v>
      </c>
      <c r="F68" s="2">
        <v>45936</v>
      </c>
      <c r="G68" s="2">
        <v>46154</v>
      </c>
      <c r="H68">
        <v>10000</v>
      </c>
      <c r="I68" t="s">
        <v>16</v>
      </c>
      <c r="J68" t="s">
        <v>17</v>
      </c>
      <c r="K68" t="s">
        <v>18</v>
      </c>
      <c r="L68">
        <v>10000</v>
      </c>
      <c r="M68" t="str">
        <f t="shared" si="8"/>
        <v>Medium</v>
      </c>
      <c r="N68">
        <f t="shared" si="9"/>
        <v>-5</v>
      </c>
      <c r="O68">
        <f t="shared" si="10"/>
        <v>1</v>
      </c>
      <c r="P68">
        <f t="shared" ca="1" si="11"/>
        <v>28</v>
      </c>
      <c r="Q68">
        <f t="shared" ca="1" si="12"/>
        <v>28</v>
      </c>
      <c r="R68">
        <f t="shared" ca="1" si="13"/>
        <v>23</v>
      </c>
    </row>
    <row r="69" spans="1:18" x14ac:dyDescent="0.3">
      <c r="A69" t="s">
        <v>163</v>
      </c>
      <c r="B69" t="s">
        <v>164</v>
      </c>
      <c r="C69" t="s">
        <v>38</v>
      </c>
      <c r="D69" t="s">
        <v>22</v>
      </c>
      <c r="E69" s="2">
        <v>46041</v>
      </c>
      <c r="F69" s="2">
        <v>46041</v>
      </c>
      <c r="G69" s="2">
        <v>46304</v>
      </c>
      <c r="H69">
        <v>12000</v>
      </c>
      <c r="I69" t="s">
        <v>16</v>
      </c>
      <c r="J69" t="s">
        <v>17</v>
      </c>
      <c r="K69" t="s">
        <v>26</v>
      </c>
      <c r="L69">
        <v>12000</v>
      </c>
      <c r="M69" t="str">
        <f t="shared" si="8"/>
        <v>Medium</v>
      </c>
      <c r="N69">
        <f t="shared" si="9"/>
        <v>263</v>
      </c>
      <c r="O69">
        <f t="shared" si="10"/>
        <v>1</v>
      </c>
      <c r="P69">
        <f t="shared" ca="1" si="11"/>
        <v>0</v>
      </c>
      <c r="Q69">
        <f t="shared" ca="1" si="12"/>
        <v>0</v>
      </c>
      <c r="R69">
        <f t="shared" ca="1" si="13"/>
        <v>141</v>
      </c>
    </row>
    <row r="70" spans="1:18" x14ac:dyDescent="0.3">
      <c r="A70" t="s">
        <v>165</v>
      </c>
      <c r="B70" t="s">
        <v>166</v>
      </c>
      <c r="C70" t="s">
        <v>38</v>
      </c>
      <c r="D70" t="s">
        <v>30</v>
      </c>
      <c r="E70" s="2">
        <v>46055</v>
      </c>
      <c r="F70" s="2">
        <v>46055</v>
      </c>
      <c r="G70" s="2">
        <v>46200</v>
      </c>
      <c r="H70">
        <v>8000</v>
      </c>
      <c r="I70" t="s">
        <v>16</v>
      </c>
      <c r="J70" t="s">
        <v>17</v>
      </c>
      <c r="K70" t="s">
        <v>31</v>
      </c>
      <c r="L70">
        <v>8000</v>
      </c>
      <c r="M70" t="str">
        <f t="shared" si="8"/>
        <v>Low</v>
      </c>
      <c r="N70">
        <f t="shared" si="9"/>
        <v>145</v>
      </c>
      <c r="O70">
        <f t="shared" si="10"/>
        <v>1</v>
      </c>
      <c r="P70">
        <f t="shared" ca="1" si="11"/>
        <v>0</v>
      </c>
      <c r="Q70">
        <f t="shared" ca="1" si="12"/>
        <v>0</v>
      </c>
      <c r="R70">
        <f t="shared" ca="1" si="13"/>
        <v>127</v>
      </c>
    </row>
    <row r="71" spans="1:18" x14ac:dyDescent="0.3">
      <c r="A71" t="s">
        <v>167</v>
      </c>
      <c r="B71" t="s">
        <v>168</v>
      </c>
      <c r="C71" t="s">
        <v>29</v>
      </c>
      <c r="D71" t="s">
        <v>30</v>
      </c>
      <c r="E71" s="2">
        <v>46150</v>
      </c>
      <c r="F71" s="2">
        <v>46150</v>
      </c>
      <c r="G71" s="2">
        <v>46247</v>
      </c>
      <c r="H71">
        <v>10000</v>
      </c>
      <c r="I71" t="s">
        <v>23</v>
      </c>
      <c r="J71" t="s">
        <v>35</v>
      </c>
      <c r="K71" t="s">
        <v>26</v>
      </c>
      <c r="L71">
        <v>10000</v>
      </c>
      <c r="M71" t="str">
        <f t="shared" si="8"/>
        <v>Medium</v>
      </c>
      <c r="N71">
        <f t="shared" si="9"/>
        <v>97</v>
      </c>
      <c r="O71">
        <f t="shared" si="10"/>
        <v>0</v>
      </c>
      <c r="P71">
        <f t="shared" ca="1" si="11"/>
        <v>0</v>
      </c>
      <c r="Q71">
        <f t="shared" ca="1" si="12"/>
        <v>0</v>
      </c>
      <c r="R71">
        <f t="shared" ca="1" si="13"/>
        <v>0</v>
      </c>
    </row>
    <row r="72" spans="1:18" x14ac:dyDescent="0.3">
      <c r="A72" t="s">
        <v>169</v>
      </c>
      <c r="B72" t="s">
        <v>170</v>
      </c>
      <c r="C72" t="s">
        <v>29</v>
      </c>
      <c r="D72" t="s">
        <v>30</v>
      </c>
      <c r="E72" s="2">
        <v>46115</v>
      </c>
      <c r="F72" s="2">
        <v>46115</v>
      </c>
      <c r="G72" s="2">
        <v>46287</v>
      </c>
      <c r="H72">
        <v>12000</v>
      </c>
      <c r="I72" t="s">
        <v>16</v>
      </c>
      <c r="J72" t="s">
        <v>17</v>
      </c>
      <c r="K72" t="s">
        <v>26</v>
      </c>
      <c r="L72">
        <v>12000</v>
      </c>
      <c r="M72" t="str">
        <f t="shared" si="8"/>
        <v>Medium</v>
      </c>
      <c r="N72">
        <f t="shared" si="9"/>
        <v>172</v>
      </c>
      <c r="O72">
        <f t="shared" si="10"/>
        <v>1</v>
      </c>
      <c r="P72">
        <f t="shared" ca="1" si="11"/>
        <v>0</v>
      </c>
      <c r="Q72">
        <f t="shared" ca="1" si="12"/>
        <v>0</v>
      </c>
      <c r="R72">
        <f t="shared" ca="1" si="13"/>
        <v>67</v>
      </c>
    </row>
    <row r="73" spans="1:18" x14ac:dyDescent="0.3">
      <c r="A73" t="s">
        <v>171</v>
      </c>
      <c r="B73" t="s">
        <v>172</v>
      </c>
      <c r="C73" t="s">
        <v>29</v>
      </c>
      <c r="D73" t="s">
        <v>30</v>
      </c>
      <c r="E73" s="2">
        <v>46069</v>
      </c>
      <c r="F73" s="2">
        <v>46069</v>
      </c>
      <c r="G73" s="2">
        <v>46278</v>
      </c>
      <c r="H73">
        <v>18000</v>
      </c>
      <c r="I73" t="s">
        <v>16</v>
      </c>
      <c r="J73" t="s">
        <v>17</v>
      </c>
      <c r="K73" t="s">
        <v>18</v>
      </c>
      <c r="L73">
        <v>18000</v>
      </c>
      <c r="M73" t="str">
        <f t="shared" si="8"/>
        <v>High</v>
      </c>
      <c r="N73">
        <f t="shared" si="9"/>
        <v>209</v>
      </c>
      <c r="O73">
        <f t="shared" si="10"/>
        <v>1</v>
      </c>
      <c r="P73">
        <f t="shared" ca="1" si="11"/>
        <v>0</v>
      </c>
      <c r="Q73">
        <f t="shared" ca="1" si="12"/>
        <v>0</v>
      </c>
      <c r="R73">
        <f t="shared" ca="1" si="13"/>
        <v>113</v>
      </c>
    </row>
    <row r="74" spans="1:18" x14ac:dyDescent="0.3">
      <c r="A74" t="s">
        <v>173</v>
      </c>
      <c r="B74" t="s">
        <v>174</v>
      </c>
      <c r="C74" t="s">
        <v>14</v>
      </c>
      <c r="D74" t="s">
        <v>22</v>
      </c>
      <c r="E74" s="2">
        <v>45995</v>
      </c>
      <c r="F74" s="2">
        <v>45995</v>
      </c>
      <c r="G74" s="2">
        <v>46233</v>
      </c>
      <c r="H74">
        <v>15000</v>
      </c>
      <c r="I74" t="s">
        <v>23</v>
      </c>
      <c r="J74" t="s">
        <v>35</v>
      </c>
      <c r="K74" t="s">
        <v>68</v>
      </c>
      <c r="L74">
        <v>15000</v>
      </c>
      <c r="M74" t="str">
        <f t="shared" si="8"/>
        <v>High</v>
      </c>
      <c r="N74">
        <f t="shared" si="9"/>
        <v>238</v>
      </c>
      <c r="O74">
        <f t="shared" si="10"/>
        <v>0</v>
      </c>
      <c r="P74">
        <f t="shared" ca="1" si="11"/>
        <v>0</v>
      </c>
      <c r="Q74">
        <f t="shared" ca="1" si="12"/>
        <v>0</v>
      </c>
      <c r="R74">
        <f t="shared" ca="1" si="13"/>
        <v>0</v>
      </c>
    </row>
    <row r="75" spans="1:18" x14ac:dyDescent="0.3">
      <c r="A75" t="s">
        <v>175</v>
      </c>
      <c r="B75" t="s">
        <v>176</v>
      </c>
      <c r="C75" t="s">
        <v>38</v>
      </c>
      <c r="D75" t="s">
        <v>30</v>
      </c>
      <c r="E75" s="2">
        <v>46172</v>
      </c>
      <c r="F75" s="2">
        <v>46172</v>
      </c>
      <c r="G75" s="2">
        <v>46135</v>
      </c>
      <c r="H75">
        <v>12000</v>
      </c>
      <c r="I75" t="s">
        <v>16</v>
      </c>
      <c r="J75" t="s">
        <v>17</v>
      </c>
      <c r="K75" t="s">
        <v>31</v>
      </c>
      <c r="L75">
        <v>12000</v>
      </c>
      <c r="M75" t="str">
        <f t="shared" si="8"/>
        <v>Medium</v>
      </c>
      <c r="N75">
        <f t="shared" si="9"/>
        <v>-37</v>
      </c>
      <c r="O75">
        <f t="shared" si="10"/>
        <v>1</v>
      </c>
      <c r="P75">
        <f t="shared" ca="1" si="11"/>
        <v>47</v>
      </c>
      <c r="Q75">
        <f t="shared" ca="1" si="12"/>
        <v>47</v>
      </c>
      <c r="R75">
        <f t="shared" ca="1" si="13"/>
        <v>10</v>
      </c>
    </row>
    <row r="76" spans="1:18" x14ac:dyDescent="0.3">
      <c r="A76" t="s">
        <v>177</v>
      </c>
      <c r="B76" t="s">
        <v>178</v>
      </c>
      <c r="C76" t="s">
        <v>38</v>
      </c>
      <c r="D76" t="s">
        <v>22</v>
      </c>
      <c r="E76" s="2">
        <v>46064</v>
      </c>
      <c r="F76" s="2">
        <v>46064</v>
      </c>
      <c r="G76" s="2">
        <v>46240</v>
      </c>
      <c r="H76">
        <v>12000</v>
      </c>
      <c r="I76" t="s">
        <v>16</v>
      </c>
      <c r="J76" t="s">
        <v>17</v>
      </c>
      <c r="K76" t="s">
        <v>31</v>
      </c>
      <c r="L76">
        <v>12000</v>
      </c>
      <c r="M76" t="str">
        <f t="shared" si="8"/>
        <v>Medium</v>
      </c>
      <c r="N76">
        <f t="shared" si="9"/>
        <v>176</v>
      </c>
      <c r="O76">
        <f t="shared" si="10"/>
        <v>1</v>
      </c>
      <c r="P76">
        <f t="shared" ca="1" si="11"/>
        <v>0</v>
      </c>
      <c r="Q76">
        <f t="shared" ca="1" si="12"/>
        <v>0</v>
      </c>
      <c r="R76">
        <f t="shared" ca="1" si="13"/>
        <v>118</v>
      </c>
    </row>
    <row r="77" spans="1:18" x14ac:dyDescent="0.3">
      <c r="A77" t="s">
        <v>179</v>
      </c>
      <c r="B77" t="s">
        <v>180</v>
      </c>
      <c r="C77" t="s">
        <v>29</v>
      </c>
      <c r="D77" t="s">
        <v>22</v>
      </c>
      <c r="E77" s="2">
        <v>46116</v>
      </c>
      <c r="F77" s="2">
        <v>46116</v>
      </c>
      <c r="G77" s="2">
        <v>46237</v>
      </c>
      <c r="H77">
        <v>15000</v>
      </c>
      <c r="I77" t="s">
        <v>16</v>
      </c>
      <c r="J77" t="s">
        <v>35</v>
      </c>
      <c r="K77" t="s">
        <v>68</v>
      </c>
      <c r="L77">
        <v>15000</v>
      </c>
      <c r="M77" t="str">
        <f t="shared" si="8"/>
        <v>High</v>
      </c>
      <c r="N77">
        <f t="shared" si="9"/>
        <v>121</v>
      </c>
      <c r="O77">
        <f t="shared" si="10"/>
        <v>1</v>
      </c>
      <c r="P77">
        <f t="shared" ca="1" si="11"/>
        <v>0</v>
      </c>
      <c r="Q77">
        <f t="shared" ca="1" si="12"/>
        <v>0</v>
      </c>
      <c r="R77">
        <f t="shared" ca="1" si="13"/>
        <v>0</v>
      </c>
    </row>
    <row r="78" spans="1:18" x14ac:dyDescent="0.3">
      <c r="A78" t="s">
        <v>181</v>
      </c>
      <c r="B78" t="s">
        <v>182</v>
      </c>
      <c r="C78" t="s">
        <v>21</v>
      </c>
      <c r="D78" t="s">
        <v>30</v>
      </c>
      <c r="E78" s="2">
        <v>46135</v>
      </c>
      <c r="F78" s="2">
        <v>46135</v>
      </c>
      <c r="G78" s="2">
        <v>46398</v>
      </c>
      <c r="H78">
        <v>12000</v>
      </c>
      <c r="I78" t="s">
        <v>16</v>
      </c>
      <c r="J78" t="s">
        <v>17</v>
      </c>
      <c r="K78" t="s">
        <v>31</v>
      </c>
      <c r="L78">
        <v>12000</v>
      </c>
      <c r="M78" t="str">
        <f t="shared" si="8"/>
        <v>Medium</v>
      </c>
      <c r="N78">
        <f t="shared" si="9"/>
        <v>263</v>
      </c>
      <c r="O78">
        <f t="shared" si="10"/>
        <v>1</v>
      </c>
      <c r="P78">
        <f t="shared" ca="1" si="11"/>
        <v>0</v>
      </c>
      <c r="Q78">
        <f t="shared" ca="1" si="12"/>
        <v>0</v>
      </c>
      <c r="R78">
        <f t="shared" ca="1" si="13"/>
        <v>47</v>
      </c>
    </row>
    <row r="79" spans="1:18" x14ac:dyDescent="0.3">
      <c r="A79" t="s">
        <v>183</v>
      </c>
      <c r="B79" t="s">
        <v>184</v>
      </c>
      <c r="C79" t="s">
        <v>21</v>
      </c>
      <c r="D79" t="s">
        <v>30</v>
      </c>
      <c r="E79" s="2">
        <v>45779</v>
      </c>
      <c r="F79" s="2">
        <v>45779</v>
      </c>
      <c r="G79" s="2">
        <v>46126</v>
      </c>
      <c r="H79">
        <v>15000</v>
      </c>
      <c r="I79" t="s">
        <v>16</v>
      </c>
      <c r="J79" t="s">
        <v>17</v>
      </c>
      <c r="K79" t="s">
        <v>18</v>
      </c>
      <c r="L79">
        <v>15000</v>
      </c>
      <c r="M79" t="str">
        <f t="shared" si="8"/>
        <v>High</v>
      </c>
      <c r="N79">
        <f t="shared" si="9"/>
        <v>347</v>
      </c>
      <c r="O79">
        <f t="shared" si="10"/>
        <v>1</v>
      </c>
      <c r="P79">
        <f t="shared" ca="1" si="11"/>
        <v>56</v>
      </c>
      <c r="Q79">
        <f t="shared" ca="1" si="12"/>
        <v>56</v>
      </c>
      <c r="R79">
        <f t="shared" ca="1" si="13"/>
        <v>403</v>
      </c>
    </row>
    <row r="80" spans="1:18" x14ac:dyDescent="0.3">
      <c r="A80" t="s">
        <v>185</v>
      </c>
      <c r="B80" t="s">
        <v>186</v>
      </c>
      <c r="C80" t="s">
        <v>21</v>
      </c>
      <c r="D80" t="s">
        <v>30</v>
      </c>
      <c r="E80" s="2">
        <v>45929</v>
      </c>
      <c r="F80" s="2">
        <v>45929</v>
      </c>
      <c r="G80" s="2">
        <v>46238</v>
      </c>
      <c r="H80">
        <v>12000</v>
      </c>
      <c r="I80" t="s">
        <v>16</v>
      </c>
      <c r="J80" t="s">
        <v>35</v>
      </c>
      <c r="K80" t="s">
        <v>26</v>
      </c>
      <c r="L80">
        <v>12000</v>
      </c>
      <c r="M80" t="str">
        <f t="shared" si="8"/>
        <v>Medium</v>
      </c>
      <c r="N80">
        <f t="shared" si="9"/>
        <v>309</v>
      </c>
      <c r="O80">
        <f t="shared" si="10"/>
        <v>1</v>
      </c>
      <c r="P80">
        <f t="shared" ca="1" si="11"/>
        <v>0</v>
      </c>
      <c r="Q80">
        <f t="shared" ca="1" si="12"/>
        <v>0</v>
      </c>
      <c r="R80">
        <f t="shared" ca="1" si="13"/>
        <v>0</v>
      </c>
    </row>
    <row r="81" spans="1:18" x14ac:dyDescent="0.3">
      <c r="A81" t="s">
        <v>187</v>
      </c>
      <c r="B81" t="s">
        <v>188</v>
      </c>
      <c r="C81" t="s">
        <v>14</v>
      </c>
      <c r="D81" t="s">
        <v>45</v>
      </c>
      <c r="E81" s="2">
        <v>45783</v>
      </c>
      <c r="F81" s="2">
        <v>45783</v>
      </c>
      <c r="G81" s="2">
        <v>46009</v>
      </c>
      <c r="H81">
        <v>12000</v>
      </c>
      <c r="I81" t="s">
        <v>23</v>
      </c>
      <c r="J81" t="s">
        <v>35</v>
      </c>
      <c r="K81" t="s">
        <v>26</v>
      </c>
      <c r="L81">
        <v>12000</v>
      </c>
      <c r="M81" t="str">
        <f t="shared" si="8"/>
        <v>Medium</v>
      </c>
      <c r="N81">
        <f t="shared" si="9"/>
        <v>226</v>
      </c>
      <c r="O81">
        <f t="shared" si="10"/>
        <v>0</v>
      </c>
      <c r="P81">
        <f t="shared" ca="1" si="11"/>
        <v>173</v>
      </c>
      <c r="Q81">
        <f t="shared" ca="1" si="12"/>
        <v>0</v>
      </c>
      <c r="R81">
        <f t="shared" ca="1" si="13"/>
        <v>0</v>
      </c>
    </row>
    <row r="82" spans="1:18" x14ac:dyDescent="0.3">
      <c r="A82" t="s">
        <v>189</v>
      </c>
      <c r="B82" t="s">
        <v>190</v>
      </c>
      <c r="C82" t="s">
        <v>21</v>
      </c>
      <c r="D82" t="s">
        <v>45</v>
      </c>
      <c r="E82" s="2">
        <v>45790</v>
      </c>
      <c r="F82" s="2">
        <v>45790</v>
      </c>
      <c r="G82" s="2">
        <v>46027</v>
      </c>
      <c r="H82">
        <v>10000</v>
      </c>
      <c r="I82" t="s">
        <v>23</v>
      </c>
      <c r="J82" t="s">
        <v>35</v>
      </c>
      <c r="K82" t="s">
        <v>68</v>
      </c>
      <c r="L82">
        <v>10000</v>
      </c>
      <c r="M82" t="str">
        <f t="shared" si="8"/>
        <v>Medium</v>
      </c>
      <c r="N82">
        <f t="shared" si="9"/>
        <v>237</v>
      </c>
      <c r="O82">
        <f t="shared" si="10"/>
        <v>0</v>
      </c>
      <c r="P82">
        <f t="shared" ca="1" si="11"/>
        <v>155</v>
      </c>
      <c r="Q82">
        <f t="shared" ca="1" si="12"/>
        <v>0</v>
      </c>
      <c r="R82">
        <f t="shared" ca="1" si="13"/>
        <v>0</v>
      </c>
    </row>
    <row r="83" spans="1:18" x14ac:dyDescent="0.3">
      <c r="A83" t="s">
        <v>191</v>
      </c>
      <c r="B83" t="s">
        <v>192</v>
      </c>
      <c r="C83" t="s">
        <v>38</v>
      </c>
      <c r="D83" t="s">
        <v>22</v>
      </c>
      <c r="E83" s="2">
        <v>45746</v>
      </c>
      <c r="F83" s="2">
        <v>45746</v>
      </c>
      <c r="G83" s="2">
        <v>45931</v>
      </c>
      <c r="H83">
        <v>12000</v>
      </c>
      <c r="I83" t="s">
        <v>23</v>
      </c>
      <c r="J83" t="s">
        <v>35</v>
      </c>
      <c r="K83" t="s">
        <v>26</v>
      </c>
      <c r="L83">
        <v>12000</v>
      </c>
      <c r="M83" t="str">
        <f t="shared" si="8"/>
        <v>Medium</v>
      </c>
      <c r="N83">
        <f t="shared" si="9"/>
        <v>185</v>
      </c>
      <c r="O83">
        <f t="shared" si="10"/>
        <v>0</v>
      </c>
      <c r="P83">
        <f t="shared" ca="1" si="11"/>
        <v>251</v>
      </c>
      <c r="Q83">
        <f t="shared" ca="1" si="12"/>
        <v>0</v>
      </c>
      <c r="R83">
        <f t="shared" ca="1" si="13"/>
        <v>0</v>
      </c>
    </row>
    <row r="84" spans="1:18" x14ac:dyDescent="0.3">
      <c r="A84" t="s">
        <v>193</v>
      </c>
      <c r="B84" t="s">
        <v>194</v>
      </c>
      <c r="C84" t="s">
        <v>38</v>
      </c>
      <c r="D84" t="s">
        <v>30</v>
      </c>
      <c r="E84" s="2">
        <v>46115</v>
      </c>
      <c r="F84" s="2">
        <v>46115</v>
      </c>
      <c r="G84" s="2">
        <v>46221</v>
      </c>
      <c r="H84">
        <v>15000</v>
      </c>
      <c r="I84" t="s">
        <v>23</v>
      </c>
      <c r="J84" t="s">
        <v>35</v>
      </c>
      <c r="K84" t="s">
        <v>68</v>
      </c>
      <c r="L84">
        <v>15000</v>
      </c>
      <c r="M84" t="str">
        <f t="shared" si="8"/>
        <v>High</v>
      </c>
      <c r="N84">
        <f t="shared" si="9"/>
        <v>106</v>
      </c>
      <c r="O84">
        <f t="shared" si="10"/>
        <v>0</v>
      </c>
      <c r="P84">
        <f t="shared" ca="1" si="11"/>
        <v>0</v>
      </c>
      <c r="Q84">
        <f t="shared" ca="1" si="12"/>
        <v>0</v>
      </c>
      <c r="R84">
        <f t="shared" ca="1" si="13"/>
        <v>0</v>
      </c>
    </row>
    <row r="85" spans="1:18" x14ac:dyDescent="0.3">
      <c r="A85" t="s">
        <v>195</v>
      </c>
      <c r="B85" t="s">
        <v>196</v>
      </c>
      <c r="C85" t="s">
        <v>29</v>
      </c>
      <c r="D85" t="s">
        <v>30</v>
      </c>
      <c r="E85" s="2">
        <v>46168</v>
      </c>
      <c r="F85" s="2">
        <v>45992</v>
      </c>
      <c r="G85" s="2">
        <v>46108</v>
      </c>
      <c r="H85">
        <v>18000</v>
      </c>
      <c r="I85" t="s">
        <v>16</v>
      </c>
      <c r="J85" t="s">
        <v>17</v>
      </c>
      <c r="K85" t="s">
        <v>31</v>
      </c>
      <c r="L85">
        <v>18000</v>
      </c>
      <c r="M85" t="str">
        <f t="shared" si="8"/>
        <v>High</v>
      </c>
      <c r="N85">
        <f t="shared" si="9"/>
        <v>-60</v>
      </c>
      <c r="O85">
        <f t="shared" si="10"/>
        <v>1</v>
      </c>
      <c r="P85">
        <f t="shared" ca="1" si="11"/>
        <v>74</v>
      </c>
      <c r="Q85">
        <f t="shared" ca="1" si="12"/>
        <v>74</v>
      </c>
      <c r="R85">
        <f t="shared" ca="1" si="13"/>
        <v>14</v>
      </c>
    </row>
    <row r="86" spans="1:18" x14ac:dyDescent="0.3">
      <c r="A86" t="s">
        <v>197</v>
      </c>
      <c r="B86" t="s">
        <v>198</v>
      </c>
      <c r="C86" t="s">
        <v>21</v>
      </c>
      <c r="D86" t="s">
        <v>22</v>
      </c>
      <c r="E86" s="2">
        <v>45797</v>
      </c>
      <c r="F86" s="2">
        <v>45797</v>
      </c>
      <c r="G86" s="2">
        <v>46063</v>
      </c>
      <c r="H86">
        <v>12000</v>
      </c>
      <c r="I86" t="s">
        <v>16</v>
      </c>
      <c r="J86" t="s">
        <v>35</v>
      </c>
      <c r="K86" t="s">
        <v>68</v>
      </c>
      <c r="L86">
        <v>12000</v>
      </c>
      <c r="M86" t="str">
        <f t="shared" si="8"/>
        <v>Medium</v>
      </c>
      <c r="N86">
        <f t="shared" si="9"/>
        <v>266</v>
      </c>
      <c r="O86">
        <f t="shared" si="10"/>
        <v>1</v>
      </c>
      <c r="P86">
        <f t="shared" ca="1" si="11"/>
        <v>119</v>
      </c>
      <c r="Q86">
        <f t="shared" ca="1" si="12"/>
        <v>119</v>
      </c>
      <c r="R86">
        <f t="shared" ca="1" si="13"/>
        <v>0</v>
      </c>
    </row>
    <row r="87" spans="1:18" x14ac:dyDescent="0.3">
      <c r="A87" t="s">
        <v>199</v>
      </c>
      <c r="B87" t="s">
        <v>200</v>
      </c>
      <c r="C87" t="s">
        <v>29</v>
      </c>
      <c r="D87" t="s">
        <v>45</v>
      </c>
      <c r="E87" s="2">
        <v>45700</v>
      </c>
      <c r="F87" s="2">
        <v>45700</v>
      </c>
      <c r="G87" s="2">
        <v>46041</v>
      </c>
      <c r="H87">
        <v>18000</v>
      </c>
      <c r="I87" t="s">
        <v>16</v>
      </c>
      <c r="J87" t="s">
        <v>17</v>
      </c>
      <c r="K87" t="s">
        <v>31</v>
      </c>
      <c r="L87">
        <v>18000</v>
      </c>
      <c r="M87" t="str">
        <f t="shared" si="8"/>
        <v>High</v>
      </c>
      <c r="N87">
        <f t="shared" si="9"/>
        <v>341</v>
      </c>
      <c r="O87">
        <f t="shared" si="10"/>
        <v>1</v>
      </c>
      <c r="P87">
        <f t="shared" ca="1" si="11"/>
        <v>141</v>
      </c>
      <c r="Q87">
        <f t="shared" ca="1" si="12"/>
        <v>141</v>
      </c>
      <c r="R87">
        <f t="shared" ca="1" si="13"/>
        <v>482</v>
      </c>
    </row>
    <row r="88" spans="1:18" x14ac:dyDescent="0.3">
      <c r="A88" t="s">
        <v>201</v>
      </c>
      <c r="B88" t="s">
        <v>202</v>
      </c>
      <c r="C88" t="s">
        <v>29</v>
      </c>
      <c r="D88" t="s">
        <v>22</v>
      </c>
      <c r="E88" s="2">
        <v>45886</v>
      </c>
      <c r="F88" s="2">
        <v>45886</v>
      </c>
      <c r="G88" s="2">
        <v>45984</v>
      </c>
      <c r="H88">
        <v>10000</v>
      </c>
      <c r="I88" t="s">
        <v>23</v>
      </c>
      <c r="J88" t="s">
        <v>17</v>
      </c>
      <c r="K88" t="s">
        <v>68</v>
      </c>
      <c r="L88">
        <v>10000</v>
      </c>
      <c r="M88" t="str">
        <f t="shared" si="8"/>
        <v>Medium</v>
      </c>
      <c r="N88">
        <f t="shared" si="9"/>
        <v>98</v>
      </c>
      <c r="O88">
        <f t="shared" si="10"/>
        <v>0</v>
      </c>
      <c r="P88">
        <f t="shared" ca="1" si="11"/>
        <v>198</v>
      </c>
      <c r="Q88">
        <f t="shared" ca="1" si="12"/>
        <v>0</v>
      </c>
      <c r="R88">
        <f t="shared" ca="1" si="13"/>
        <v>296</v>
      </c>
    </row>
    <row r="89" spans="1:18" x14ac:dyDescent="0.3">
      <c r="A89" t="s">
        <v>203</v>
      </c>
      <c r="B89" t="s">
        <v>204</v>
      </c>
      <c r="C89" t="s">
        <v>14</v>
      </c>
      <c r="D89" t="s">
        <v>45</v>
      </c>
      <c r="E89" s="2">
        <v>46033</v>
      </c>
      <c r="F89" s="2">
        <v>46033</v>
      </c>
      <c r="G89" s="2">
        <v>46354</v>
      </c>
      <c r="H89">
        <v>10000</v>
      </c>
      <c r="I89" t="s">
        <v>23</v>
      </c>
      <c r="J89" t="s">
        <v>17</v>
      </c>
      <c r="K89" t="s">
        <v>18</v>
      </c>
      <c r="L89">
        <v>10000</v>
      </c>
      <c r="M89" t="str">
        <f t="shared" si="8"/>
        <v>Medium</v>
      </c>
      <c r="N89">
        <f t="shared" si="9"/>
        <v>321</v>
      </c>
      <c r="O89">
        <f t="shared" si="10"/>
        <v>0</v>
      </c>
      <c r="P89">
        <f t="shared" ca="1" si="11"/>
        <v>0</v>
      </c>
      <c r="Q89">
        <f t="shared" ca="1" si="12"/>
        <v>0</v>
      </c>
      <c r="R89">
        <f t="shared" ca="1" si="13"/>
        <v>149</v>
      </c>
    </row>
    <row r="90" spans="1:18" x14ac:dyDescent="0.3">
      <c r="A90" t="s">
        <v>205</v>
      </c>
      <c r="B90" t="s">
        <v>206</v>
      </c>
      <c r="C90" t="s">
        <v>21</v>
      </c>
      <c r="D90" t="s">
        <v>30</v>
      </c>
      <c r="E90" s="2">
        <v>45866</v>
      </c>
      <c r="F90" s="2">
        <v>45866</v>
      </c>
      <c r="G90" s="2">
        <v>46132</v>
      </c>
      <c r="H90">
        <v>18000</v>
      </c>
      <c r="I90" t="s">
        <v>16</v>
      </c>
      <c r="J90" t="s">
        <v>35</v>
      </c>
      <c r="K90" t="s">
        <v>18</v>
      </c>
      <c r="L90">
        <v>18000</v>
      </c>
      <c r="M90" t="str">
        <f t="shared" si="8"/>
        <v>High</v>
      </c>
      <c r="N90">
        <f t="shared" si="9"/>
        <v>266</v>
      </c>
      <c r="O90">
        <f t="shared" si="10"/>
        <v>1</v>
      </c>
      <c r="P90">
        <f t="shared" ca="1" si="11"/>
        <v>50</v>
      </c>
      <c r="Q90">
        <f t="shared" ca="1" si="12"/>
        <v>50</v>
      </c>
      <c r="R90">
        <f t="shared" ca="1" si="13"/>
        <v>0</v>
      </c>
    </row>
    <row r="91" spans="1:18" x14ac:dyDescent="0.3">
      <c r="A91" t="s">
        <v>207</v>
      </c>
      <c r="B91" t="s">
        <v>208</v>
      </c>
      <c r="C91" t="s">
        <v>29</v>
      </c>
      <c r="D91" t="s">
        <v>30</v>
      </c>
      <c r="E91" s="2">
        <v>45845</v>
      </c>
      <c r="F91" s="2">
        <v>45845</v>
      </c>
      <c r="G91" s="2">
        <v>46033</v>
      </c>
      <c r="H91">
        <v>8000</v>
      </c>
      <c r="I91" t="s">
        <v>16</v>
      </c>
      <c r="J91" t="s">
        <v>17</v>
      </c>
      <c r="K91" t="s">
        <v>18</v>
      </c>
      <c r="L91">
        <v>8000</v>
      </c>
      <c r="M91" t="str">
        <f t="shared" si="8"/>
        <v>Low</v>
      </c>
      <c r="N91">
        <f t="shared" si="9"/>
        <v>188</v>
      </c>
      <c r="O91">
        <f t="shared" si="10"/>
        <v>1</v>
      </c>
      <c r="P91">
        <f t="shared" ca="1" si="11"/>
        <v>149</v>
      </c>
      <c r="Q91">
        <f t="shared" ca="1" si="12"/>
        <v>149</v>
      </c>
      <c r="R91">
        <f t="shared" ca="1" si="13"/>
        <v>337</v>
      </c>
    </row>
    <row r="92" spans="1:18" x14ac:dyDescent="0.3">
      <c r="A92" t="s">
        <v>209</v>
      </c>
      <c r="B92" t="s">
        <v>210</v>
      </c>
      <c r="C92" t="s">
        <v>38</v>
      </c>
      <c r="D92" t="s">
        <v>45</v>
      </c>
      <c r="E92" s="2">
        <v>45913</v>
      </c>
      <c r="F92" s="2">
        <v>45913</v>
      </c>
      <c r="G92" s="2">
        <v>46018</v>
      </c>
      <c r="H92">
        <v>12000</v>
      </c>
      <c r="I92" t="s">
        <v>23</v>
      </c>
      <c r="J92" t="s">
        <v>35</v>
      </c>
      <c r="K92" t="s">
        <v>18</v>
      </c>
      <c r="L92">
        <v>12000</v>
      </c>
      <c r="M92" t="str">
        <f t="shared" si="8"/>
        <v>Medium</v>
      </c>
      <c r="N92">
        <f t="shared" si="9"/>
        <v>105</v>
      </c>
      <c r="O92">
        <f t="shared" si="10"/>
        <v>0</v>
      </c>
      <c r="P92">
        <f t="shared" ca="1" si="11"/>
        <v>164</v>
      </c>
      <c r="Q92">
        <f t="shared" ca="1" si="12"/>
        <v>0</v>
      </c>
      <c r="R92">
        <f t="shared" ca="1" si="13"/>
        <v>0</v>
      </c>
    </row>
    <row r="93" spans="1:18" x14ac:dyDescent="0.3">
      <c r="A93" t="s">
        <v>211</v>
      </c>
      <c r="B93" t="s">
        <v>212</v>
      </c>
      <c r="C93" t="s">
        <v>14</v>
      </c>
      <c r="D93" t="s">
        <v>22</v>
      </c>
      <c r="E93" s="2">
        <v>46133</v>
      </c>
      <c r="F93" s="2">
        <v>46133</v>
      </c>
      <c r="G93" s="2">
        <v>46317</v>
      </c>
      <c r="H93">
        <v>18000</v>
      </c>
      <c r="I93" t="s">
        <v>23</v>
      </c>
      <c r="J93" t="s">
        <v>35</v>
      </c>
      <c r="K93" t="s">
        <v>31</v>
      </c>
      <c r="L93">
        <v>18000</v>
      </c>
      <c r="M93" t="str">
        <f t="shared" si="8"/>
        <v>High</v>
      </c>
      <c r="N93">
        <f t="shared" si="9"/>
        <v>184</v>
      </c>
      <c r="O93">
        <f t="shared" si="10"/>
        <v>0</v>
      </c>
      <c r="P93">
        <f t="shared" ca="1" si="11"/>
        <v>0</v>
      </c>
      <c r="Q93">
        <f t="shared" ca="1" si="12"/>
        <v>0</v>
      </c>
      <c r="R93">
        <f t="shared" ca="1" si="13"/>
        <v>0</v>
      </c>
    </row>
    <row r="94" spans="1:18" x14ac:dyDescent="0.3">
      <c r="A94" t="s">
        <v>213</v>
      </c>
      <c r="B94" t="s">
        <v>214</v>
      </c>
      <c r="C94" t="s">
        <v>38</v>
      </c>
      <c r="D94" t="s">
        <v>45</v>
      </c>
      <c r="E94" s="2">
        <v>45914</v>
      </c>
      <c r="F94" s="2">
        <v>45914</v>
      </c>
      <c r="G94" s="2">
        <v>46273</v>
      </c>
      <c r="H94">
        <v>10000</v>
      </c>
      <c r="I94" t="s">
        <v>16</v>
      </c>
      <c r="J94" t="s">
        <v>35</v>
      </c>
      <c r="K94" t="s">
        <v>31</v>
      </c>
      <c r="L94">
        <v>10000</v>
      </c>
      <c r="M94" t="str">
        <f t="shared" si="8"/>
        <v>Medium</v>
      </c>
      <c r="N94">
        <f t="shared" si="9"/>
        <v>359</v>
      </c>
      <c r="O94">
        <f t="shared" si="10"/>
        <v>1</v>
      </c>
      <c r="P94">
        <f t="shared" ca="1" si="11"/>
        <v>0</v>
      </c>
      <c r="Q94">
        <f t="shared" ca="1" si="12"/>
        <v>0</v>
      </c>
      <c r="R94">
        <f t="shared" ca="1" si="13"/>
        <v>0</v>
      </c>
    </row>
    <row r="95" spans="1:18" x14ac:dyDescent="0.3">
      <c r="A95" t="s">
        <v>215</v>
      </c>
      <c r="B95" t="s">
        <v>216</v>
      </c>
      <c r="C95" t="s">
        <v>14</v>
      </c>
      <c r="D95" t="s">
        <v>45</v>
      </c>
      <c r="E95" s="2">
        <v>45694</v>
      </c>
      <c r="F95" s="2">
        <v>45694</v>
      </c>
      <c r="G95" s="2">
        <v>45977</v>
      </c>
      <c r="H95">
        <v>15000</v>
      </c>
      <c r="I95" t="s">
        <v>23</v>
      </c>
      <c r="J95" t="s">
        <v>17</v>
      </c>
      <c r="K95" t="s">
        <v>68</v>
      </c>
      <c r="L95">
        <v>15000</v>
      </c>
      <c r="M95" t="str">
        <f t="shared" si="8"/>
        <v>High</v>
      </c>
      <c r="N95">
        <f t="shared" si="9"/>
        <v>283</v>
      </c>
      <c r="O95">
        <f t="shared" si="10"/>
        <v>0</v>
      </c>
      <c r="P95">
        <f t="shared" ca="1" si="11"/>
        <v>205</v>
      </c>
      <c r="Q95">
        <f t="shared" ca="1" si="12"/>
        <v>0</v>
      </c>
      <c r="R95">
        <f t="shared" ca="1" si="13"/>
        <v>488</v>
      </c>
    </row>
    <row r="96" spans="1:18" x14ac:dyDescent="0.3">
      <c r="A96" t="s">
        <v>217</v>
      </c>
      <c r="B96" t="s">
        <v>218</v>
      </c>
      <c r="C96" t="s">
        <v>29</v>
      </c>
      <c r="D96" t="s">
        <v>30</v>
      </c>
      <c r="E96" s="2">
        <v>46058</v>
      </c>
      <c r="F96" s="2">
        <v>46058</v>
      </c>
      <c r="G96" s="2">
        <v>46419</v>
      </c>
      <c r="H96">
        <v>18000</v>
      </c>
      <c r="I96" t="s">
        <v>23</v>
      </c>
      <c r="J96" t="s">
        <v>35</v>
      </c>
      <c r="K96" t="s">
        <v>18</v>
      </c>
      <c r="L96">
        <v>18000</v>
      </c>
      <c r="M96" t="str">
        <f t="shared" si="8"/>
        <v>High</v>
      </c>
      <c r="N96">
        <f t="shared" si="9"/>
        <v>361</v>
      </c>
      <c r="O96">
        <f t="shared" si="10"/>
        <v>0</v>
      </c>
      <c r="P96">
        <f t="shared" ca="1" si="11"/>
        <v>0</v>
      </c>
      <c r="Q96">
        <f t="shared" ca="1" si="12"/>
        <v>0</v>
      </c>
      <c r="R96">
        <f t="shared" ca="1" si="13"/>
        <v>0</v>
      </c>
    </row>
    <row r="97" spans="1:18" x14ac:dyDescent="0.3">
      <c r="A97" t="s">
        <v>219</v>
      </c>
      <c r="B97" t="s">
        <v>220</v>
      </c>
      <c r="C97" t="s">
        <v>29</v>
      </c>
      <c r="D97" t="s">
        <v>30</v>
      </c>
      <c r="E97" s="2">
        <v>45962</v>
      </c>
      <c r="F97" s="2">
        <v>45962</v>
      </c>
      <c r="G97" s="2">
        <v>46059</v>
      </c>
      <c r="H97">
        <v>10000</v>
      </c>
      <c r="I97" t="s">
        <v>16</v>
      </c>
      <c r="J97" t="s">
        <v>17</v>
      </c>
      <c r="K97" t="s">
        <v>68</v>
      </c>
      <c r="L97">
        <v>10000</v>
      </c>
      <c r="M97" t="str">
        <f t="shared" si="8"/>
        <v>Medium</v>
      </c>
      <c r="N97">
        <f t="shared" si="9"/>
        <v>97</v>
      </c>
      <c r="O97">
        <f t="shared" si="10"/>
        <v>1</v>
      </c>
      <c r="P97">
        <f t="shared" ca="1" si="11"/>
        <v>123</v>
      </c>
      <c r="Q97">
        <f t="shared" ca="1" si="12"/>
        <v>123</v>
      </c>
      <c r="R97">
        <f t="shared" ca="1" si="13"/>
        <v>220</v>
      </c>
    </row>
    <row r="98" spans="1:18" x14ac:dyDescent="0.3">
      <c r="A98" t="s">
        <v>221</v>
      </c>
      <c r="B98" t="s">
        <v>222</v>
      </c>
      <c r="C98" t="s">
        <v>29</v>
      </c>
      <c r="D98" t="s">
        <v>22</v>
      </c>
      <c r="E98" s="2">
        <v>46028</v>
      </c>
      <c r="F98" s="2">
        <v>46028</v>
      </c>
      <c r="G98" s="2">
        <v>46173</v>
      </c>
      <c r="H98">
        <v>18000</v>
      </c>
      <c r="I98" t="s">
        <v>16</v>
      </c>
      <c r="J98" t="s">
        <v>17</v>
      </c>
      <c r="K98" t="s">
        <v>68</v>
      </c>
      <c r="L98">
        <v>18000</v>
      </c>
      <c r="M98" t="str">
        <f t="shared" si="8"/>
        <v>High</v>
      </c>
      <c r="N98">
        <f t="shared" si="9"/>
        <v>145</v>
      </c>
      <c r="O98">
        <f t="shared" si="10"/>
        <v>1</v>
      </c>
      <c r="P98">
        <f t="shared" ca="1" si="11"/>
        <v>9</v>
      </c>
      <c r="Q98">
        <f t="shared" ref="Q98:Q129" ca="1" si="14">IF(AND(G98&lt;TODAY(),I98="Occupied"),TODAY()-G98,0)</f>
        <v>9</v>
      </c>
      <c r="R98">
        <f t="shared" ref="R98:R129" ca="1" si="15">IF(AND(J98="Pending",E98&lt;TODAY()),TODAY()-E98,0)</f>
        <v>154</v>
      </c>
    </row>
    <row r="99" spans="1:18" x14ac:dyDescent="0.3">
      <c r="A99" t="s">
        <v>223</v>
      </c>
      <c r="B99" t="s">
        <v>224</v>
      </c>
      <c r="C99" t="s">
        <v>14</v>
      </c>
      <c r="D99" t="s">
        <v>22</v>
      </c>
      <c r="E99" s="2">
        <v>45745</v>
      </c>
      <c r="F99" s="2">
        <v>45745</v>
      </c>
      <c r="G99" s="2">
        <v>45912</v>
      </c>
      <c r="H99">
        <v>12000</v>
      </c>
      <c r="I99" t="s">
        <v>16</v>
      </c>
      <c r="J99" t="s">
        <v>35</v>
      </c>
      <c r="K99" t="s">
        <v>31</v>
      </c>
      <c r="L99">
        <v>12000</v>
      </c>
      <c r="M99" t="str">
        <f t="shared" si="8"/>
        <v>Medium</v>
      </c>
      <c r="N99">
        <f t="shared" si="9"/>
        <v>167</v>
      </c>
      <c r="O99">
        <f t="shared" si="10"/>
        <v>1</v>
      </c>
      <c r="P99">
        <f t="shared" ca="1" si="11"/>
        <v>270</v>
      </c>
      <c r="Q99">
        <f t="shared" ca="1" si="14"/>
        <v>270</v>
      </c>
      <c r="R99">
        <f t="shared" ca="1" si="15"/>
        <v>0</v>
      </c>
    </row>
    <row r="100" spans="1:18" x14ac:dyDescent="0.3">
      <c r="A100" t="s">
        <v>225</v>
      </c>
      <c r="B100" t="s">
        <v>226</v>
      </c>
      <c r="C100" t="s">
        <v>14</v>
      </c>
      <c r="D100" t="s">
        <v>45</v>
      </c>
      <c r="E100" s="2">
        <v>45998</v>
      </c>
      <c r="F100" s="2">
        <v>45998</v>
      </c>
      <c r="G100" s="2">
        <v>46322</v>
      </c>
      <c r="H100">
        <v>12000</v>
      </c>
      <c r="I100" t="s">
        <v>23</v>
      </c>
      <c r="J100" t="s">
        <v>35</v>
      </c>
      <c r="K100" t="s">
        <v>26</v>
      </c>
      <c r="L100">
        <v>12000</v>
      </c>
      <c r="M100" t="str">
        <f t="shared" si="8"/>
        <v>Medium</v>
      </c>
      <c r="N100">
        <f t="shared" si="9"/>
        <v>324</v>
      </c>
      <c r="O100">
        <f t="shared" si="10"/>
        <v>0</v>
      </c>
      <c r="P100">
        <f t="shared" ca="1" si="11"/>
        <v>0</v>
      </c>
      <c r="Q100">
        <f t="shared" ca="1" si="14"/>
        <v>0</v>
      </c>
      <c r="R100">
        <f t="shared" ca="1" si="15"/>
        <v>0</v>
      </c>
    </row>
    <row r="101" spans="1:18" x14ac:dyDescent="0.3">
      <c r="A101" t="s">
        <v>227</v>
      </c>
      <c r="B101" t="s">
        <v>228</v>
      </c>
      <c r="C101" t="s">
        <v>21</v>
      </c>
      <c r="D101" t="s">
        <v>30</v>
      </c>
      <c r="E101" s="2">
        <v>46069</v>
      </c>
      <c r="F101" s="2">
        <v>46069</v>
      </c>
      <c r="G101" s="2">
        <v>46256</v>
      </c>
      <c r="H101">
        <v>15000</v>
      </c>
      <c r="I101" t="s">
        <v>23</v>
      </c>
      <c r="J101" t="s">
        <v>35</v>
      </c>
      <c r="K101" t="s">
        <v>26</v>
      </c>
      <c r="L101">
        <v>15000</v>
      </c>
      <c r="M101" t="str">
        <f t="shared" si="8"/>
        <v>High</v>
      </c>
      <c r="N101">
        <f t="shared" si="9"/>
        <v>187</v>
      </c>
      <c r="O101">
        <f t="shared" si="10"/>
        <v>0</v>
      </c>
      <c r="P101">
        <f t="shared" ca="1" si="11"/>
        <v>0</v>
      </c>
      <c r="Q101">
        <f t="shared" ca="1" si="14"/>
        <v>0</v>
      </c>
      <c r="R101">
        <f t="shared" ca="1" si="15"/>
        <v>0</v>
      </c>
    </row>
    <row r="102" spans="1:18" x14ac:dyDescent="0.3">
      <c r="A102" t="s">
        <v>229</v>
      </c>
      <c r="B102" t="s">
        <v>230</v>
      </c>
      <c r="C102" t="s">
        <v>38</v>
      </c>
      <c r="D102" t="s">
        <v>30</v>
      </c>
      <c r="E102" s="2">
        <v>46147</v>
      </c>
      <c r="F102" s="2">
        <v>45722</v>
      </c>
      <c r="G102" s="2">
        <v>45923</v>
      </c>
      <c r="H102">
        <v>15000</v>
      </c>
      <c r="I102" t="s">
        <v>23</v>
      </c>
      <c r="J102" t="s">
        <v>17</v>
      </c>
      <c r="K102" t="s">
        <v>68</v>
      </c>
      <c r="L102">
        <v>15000</v>
      </c>
      <c r="M102" t="str">
        <f t="shared" si="8"/>
        <v>High</v>
      </c>
      <c r="N102">
        <f t="shared" si="9"/>
        <v>-224</v>
      </c>
      <c r="O102">
        <f t="shared" si="10"/>
        <v>0</v>
      </c>
      <c r="P102">
        <f t="shared" ca="1" si="11"/>
        <v>259</v>
      </c>
      <c r="Q102">
        <f t="shared" ca="1" si="14"/>
        <v>0</v>
      </c>
      <c r="R102">
        <f t="shared" ca="1" si="15"/>
        <v>35</v>
      </c>
    </row>
    <row r="103" spans="1:18" x14ac:dyDescent="0.3">
      <c r="A103" t="s">
        <v>231</v>
      </c>
      <c r="B103" t="s">
        <v>232</v>
      </c>
      <c r="C103" t="s">
        <v>38</v>
      </c>
      <c r="D103" t="s">
        <v>30</v>
      </c>
      <c r="E103" s="2">
        <v>45797</v>
      </c>
      <c r="F103" s="2">
        <v>45797</v>
      </c>
      <c r="G103" s="2">
        <v>46040</v>
      </c>
      <c r="H103">
        <v>12000</v>
      </c>
      <c r="I103" t="s">
        <v>16</v>
      </c>
      <c r="J103" t="s">
        <v>17</v>
      </c>
      <c r="K103" t="s">
        <v>26</v>
      </c>
      <c r="L103">
        <v>12000</v>
      </c>
      <c r="M103" t="str">
        <f t="shared" si="8"/>
        <v>Medium</v>
      </c>
      <c r="N103">
        <f t="shared" si="9"/>
        <v>243</v>
      </c>
      <c r="O103">
        <f t="shared" si="10"/>
        <v>1</v>
      </c>
      <c r="P103">
        <f t="shared" ca="1" si="11"/>
        <v>142</v>
      </c>
      <c r="Q103">
        <f t="shared" ca="1" si="14"/>
        <v>142</v>
      </c>
      <c r="R103">
        <f t="shared" ca="1" si="15"/>
        <v>385</v>
      </c>
    </row>
    <row r="104" spans="1:18" x14ac:dyDescent="0.3">
      <c r="A104" t="s">
        <v>233</v>
      </c>
      <c r="B104" t="s">
        <v>234</v>
      </c>
      <c r="C104" t="s">
        <v>38</v>
      </c>
      <c r="D104" t="s">
        <v>45</v>
      </c>
      <c r="E104" s="2">
        <v>45952</v>
      </c>
      <c r="F104" s="2">
        <v>45952</v>
      </c>
      <c r="G104" s="2">
        <v>46186</v>
      </c>
      <c r="H104">
        <v>12000</v>
      </c>
      <c r="I104" t="s">
        <v>23</v>
      </c>
      <c r="J104" t="s">
        <v>17</v>
      </c>
      <c r="K104" t="s">
        <v>18</v>
      </c>
      <c r="L104">
        <v>12000</v>
      </c>
      <c r="M104" t="str">
        <f t="shared" si="8"/>
        <v>Medium</v>
      </c>
      <c r="N104">
        <f t="shared" si="9"/>
        <v>234</v>
      </c>
      <c r="O104">
        <f t="shared" si="10"/>
        <v>0</v>
      </c>
      <c r="P104">
        <f t="shared" ca="1" si="11"/>
        <v>0</v>
      </c>
      <c r="Q104">
        <f t="shared" ca="1" si="14"/>
        <v>0</v>
      </c>
      <c r="R104">
        <f t="shared" ca="1" si="15"/>
        <v>230</v>
      </c>
    </row>
    <row r="105" spans="1:18" x14ac:dyDescent="0.3">
      <c r="A105" t="s">
        <v>235</v>
      </c>
      <c r="B105" t="s">
        <v>236</v>
      </c>
      <c r="C105" t="s">
        <v>29</v>
      </c>
      <c r="D105" t="s">
        <v>30</v>
      </c>
      <c r="E105" s="2">
        <v>46103</v>
      </c>
      <c r="F105" s="2">
        <v>46103</v>
      </c>
      <c r="G105" s="2">
        <v>46121</v>
      </c>
      <c r="H105">
        <v>15000</v>
      </c>
      <c r="I105" t="s">
        <v>16</v>
      </c>
      <c r="J105" t="s">
        <v>17</v>
      </c>
      <c r="K105" t="s">
        <v>31</v>
      </c>
      <c r="L105">
        <v>15000</v>
      </c>
      <c r="M105" t="str">
        <f t="shared" si="8"/>
        <v>High</v>
      </c>
      <c r="N105">
        <f t="shared" si="9"/>
        <v>18</v>
      </c>
      <c r="O105">
        <f t="shared" si="10"/>
        <v>1</v>
      </c>
      <c r="P105">
        <f t="shared" ca="1" si="11"/>
        <v>61</v>
      </c>
      <c r="Q105">
        <f t="shared" ca="1" si="14"/>
        <v>61</v>
      </c>
      <c r="R105">
        <f t="shared" ca="1" si="15"/>
        <v>79</v>
      </c>
    </row>
    <row r="106" spans="1:18" x14ac:dyDescent="0.3">
      <c r="A106" t="s">
        <v>237</v>
      </c>
      <c r="B106" t="s">
        <v>238</v>
      </c>
      <c r="C106" t="s">
        <v>21</v>
      </c>
      <c r="D106" t="s">
        <v>30</v>
      </c>
      <c r="E106" s="2">
        <v>45753</v>
      </c>
      <c r="F106" s="2">
        <v>45753</v>
      </c>
      <c r="G106" s="2">
        <v>46075</v>
      </c>
      <c r="H106">
        <v>10000</v>
      </c>
      <c r="I106" t="s">
        <v>23</v>
      </c>
      <c r="J106" t="s">
        <v>17</v>
      </c>
      <c r="K106" t="s">
        <v>68</v>
      </c>
      <c r="L106">
        <v>10000</v>
      </c>
      <c r="M106" t="str">
        <f t="shared" si="8"/>
        <v>Medium</v>
      </c>
      <c r="N106">
        <f t="shared" si="9"/>
        <v>322</v>
      </c>
      <c r="O106">
        <f t="shared" si="10"/>
        <v>0</v>
      </c>
      <c r="P106">
        <f t="shared" ca="1" si="11"/>
        <v>107</v>
      </c>
      <c r="Q106">
        <f t="shared" ca="1" si="14"/>
        <v>0</v>
      </c>
      <c r="R106">
        <f t="shared" ca="1" si="15"/>
        <v>429</v>
      </c>
    </row>
    <row r="107" spans="1:18" x14ac:dyDescent="0.3">
      <c r="A107" t="s">
        <v>239</v>
      </c>
      <c r="B107" t="s">
        <v>240</v>
      </c>
      <c r="C107" t="s">
        <v>14</v>
      </c>
      <c r="D107" t="s">
        <v>22</v>
      </c>
      <c r="E107" s="2">
        <v>45902</v>
      </c>
      <c r="F107" s="2">
        <v>45902</v>
      </c>
      <c r="G107" s="2">
        <v>46039</v>
      </c>
      <c r="H107">
        <v>12000</v>
      </c>
      <c r="I107" t="s">
        <v>23</v>
      </c>
      <c r="J107" t="s">
        <v>35</v>
      </c>
      <c r="K107" t="s">
        <v>18</v>
      </c>
      <c r="L107">
        <v>12000</v>
      </c>
      <c r="M107" t="str">
        <f t="shared" si="8"/>
        <v>Medium</v>
      </c>
      <c r="N107">
        <f t="shared" si="9"/>
        <v>137</v>
      </c>
      <c r="O107">
        <f t="shared" si="10"/>
        <v>0</v>
      </c>
      <c r="P107">
        <f t="shared" ca="1" si="11"/>
        <v>143</v>
      </c>
      <c r="Q107">
        <f t="shared" ca="1" si="14"/>
        <v>0</v>
      </c>
      <c r="R107">
        <f t="shared" ca="1" si="15"/>
        <v>0</v>
      </c>
    </row>
    <row r="108" spans="1:18" x14ac:dyDescent="0.3">
      <c r="A108" t="s">
        <v>241</v>
      </c>
      <c r="B108" t="s">
        <v>242</v>
      </c>
      <c r="C108" t="s">
        <v>38</v>
      </c>
      <c r="D108" t="s">
        <v>45</v>
      </c>
      <c r="E108" s="2">
        <v>45937</v>
      </c>
      <c r="F108" s="2">
        <v>45937</v>
      </c>
      <c r="G108" s="2">
        <v>46273</v>
      </c>
      <c r="H108">
        <v>18000</v>
      </c>
      <c r="I108" t="s">
        <v>23</v>
      </c>
      <c r="J108" t="s">
        <v>35</v>
      </c>
      <c r="K108" t="s">
        <v>18</v>
      </c>
      <c r="L108">
        <v>18000</v>
      </c>
      <c r="M108" t="str">
        <f t="shared" si="8"/>
        <v>High</v>
      </c>
      <c r="N108">
        <f t="shared" si="9"/>
        <v>336</v>
      </c>
      <c r="O108">
        <f t="shared" si="10"/>
        <v>0</v>
      </c>
      <c r="P108">
        <f t="shared" ca="1" si="11"/>
        <v>0</v>
      </c>
      <c r="Q108">
        <f t="shared" ca="1" si="14"/>
        <v>0</v>
      </c>
      <c r="R108">
        <f t="shared" ca="1" si="15"/>
        <v>0</v>
      </c>
    </row>
    <row r="109" spans="1:18" x14ac:dyDescent="0.3">
      <c r="A109" t="s">
        <v>243</v>
      </c>
      <c r="B109" t="s">
        <v>244</v>
      </c>
      <c r="C109" t="s">
        <v>14</v>
      </c>
      <c r="D109" t="s">
        <v>22</v>
      </c>
      <c r="E109" s="2">
        <v>46068</v>
      </c>
      <c r="F109" s="2">
        <v>46068</v>
      </c>
      <c r="G109" s="2">
        <v>46185</v>
      </c>
      <c r="H109">
        <v>10000</v>
      </c>
      <c r="I109" t="s">
        <v>16</v>
      </c>
      <c r="J109" t="s">
        <v>17</v>
      </c>
      <c r="K109" t="s">
        <v>26</v>
      </c>
      <c r="L109">
        <v>10000</v>
      </c>
      <c r="M109" t="str">
        <f t="shared" si="8"/>
        <v>Medium</v>
      </c>
      <c r="N109">
        <f t="shared" si="9"/>
        <v>117</v>
      </c>
      <c r="O109">
        <f t="shared" si="10"/>
        <v>1</v>
      </c>
      <c r="P109">
        <f t="shared" ca="1" si="11"/>
        <v>0</v>
      </c>
      <c r="Q109">
        <f t="shared" ca="1" si="14"/>
        <v>0</v>
      </c>
      <c r="R109">
        <f t="shared" ca="1" si="15"/>
        <v>114</v>
      </c>
    </row>
    <row r="110" spans="1:18" x14ac:dyDescent="0.3">
      <c r="A110" t="s">
        <v>245</v>
      </c>
      <c r="B110" t="s">
        <v>246</v>
      </c>
      <c r="C110" t="s">
        <v>14</v>
      </c>
      <c r="D110" t="s">
        <v>30</v>
      </c>
      <c r="E110" s="2">
        <v>45788</v>
      </c>
      <c r="F110" s="2">
        <v>45788</v>
      </c>
      <c r="G110" s="2">
        <v>45975</v>
      </c>
      <c r="H110">
        <v>8000</v>
      </c>
      <c r="I110" t="s">
        <v>16</v>
      </c>
      <c r="J110" t="s">
        <v>17</v>
      </c>
      <c r="K110" t="s">
        <v>68</v>
      </c>
      <c r="L110">
        <v>8000</v>
      </c>
      <c r="M110" t="str">
        <f t="shared" si="8"/>
        <v>Low</v>
      </c>
      <c r="N110">
        <f t="shared" si="9"/>
        <v>187</v>
      </c>
      <c r="O110">
        <f t="shared" si="10"/>
        <v>1</v>
      </c>
      <c r="P110">
        <f t="shared" ca="1" si="11"/>
        <v>207</v>
      </c>
      <c r="Q110">
        <f t="shared" ca="1" si="14"/>
        <v>207</v>
      </c>
      <c r="R110">
        <f t="shared" ca="1" si="15"/>
        <v>394</v>
      </c>
    </row>
    <row r="111" spans="1:18" x14ac:dyDescent="0.3">
      <c r="A111" t="s">
        <v>247</v>
      </c>
      <c r="B111" t="s">
        <v>248</v>
      </c>
      <c r="C111" t="s">
        <v>29</v>
      </c>
      <c r="D111" t="s">
        <v>45</v>
      </c>
      <c r="E111" s="2">
        <v>45992</v>
      </c>
      <c r="F111" s="2">
        <v>45992</v>
      </c>
      <c r="G111" s="2">
        <v>46173</v>
      </c>
      <c r="H111">
        <v>15000</v>
      </c>
      <c r="I111" t="s">
        <v>16</v>
      </c>
      <c r="J111" t="s">
        <v>17</v>
      </c>
      <c r="K111" t="s">
        <v>18</v>
      </c>
      <c r="L111">
        <v>15000</v>
      </c>
      <c r="M111" t="str">
        <f t="shared" si="8"/>
        <v>High</v>
      </c>
      <c r="N111">
        <f t="shared" si="9"/>
        <v>181</v>
      </c>
      <c r="O111">
        <f t="shared" si="10"/>
        <v>1</v>
      </c>
      <c r="P111">
        <f t="shared" ca="1" si="11"/>
        <v>9</v>
      </c>
      <c r="Q111">
        <f t="shared" ca="1" si="14"/>
        <v>9</v>
      </c>
      <c r="R111">
        <f t="shared" ca="1" si="15"/>
        <v>190</v>
      </c>
    </row>
    <row r="112" spans="1:18" x14ac:dyDescent="0.3">
      <c r="A112" t="s">
        <v>249</v>
      </c>
      <c r="B112" t="s">
        <v>250</v>
      </c>
      <c r="C112" t="s">
        <v>14</v>
      </c>
      <c r="D112" t="s">
        <v>30</v>
      </c>
      <c r="E112" s="2">
        <v>46097</v>
      </c>
      <c r="F112" s="2">
        <v>46097</v>
      </c>
      <c r="G112" s="2">
        <v>46211</v>
      </c>
      <c r="H112">
        <v>8000</v>
      </c>
      <c r="I112" t="s">
        <v>23</v>
      </c>
      <c r="J112" t="s">
        <v>17</v>
      </c>
      <c r="K112" t="s">
        <v>31</v>
      </c>
      <c r="L112">
        <v>8000</v>
      </c>
      <c r="M112" t="str">
        <f t="shared" si="8"/>
        <v>Low</v>
      </c>
      <c r="N112">
        <f t="shared" si="9"/>
        <v>114</v>
      </c>
      <c r="O112">
        <f t="shared" si="10"/>
        <v>0</v>
      </c>
      <c r="P112">
        <f t="shared" ca="1" si="11"/>
        <v>0</v>
      </c>
      <c r="Q112">
        <f t="shared" ca="1" si="14"/>
        <v>0</v>
      </c>
      <c r="R112">
        <f t="shared" ca="1" si="15"/>
        <v>85</v>
      </c>
    </row>
    <row r="113" spans="1:18" x14ac:dyDescent="0.3">
      <c r="A113" t="s">
        <v>251</v>
      </c>
      <c r="B113" t="s">
        <v>252</v>
      </c>
      <c r="C113" t="s">
        <v>21</v>
      </c>
      <c r="D113" t="s">
        <v>30</v>
      </c>
      <c r="E113" s="2">
        <v>45948</v>
      </c>
      <c r="F113" s="2">
        <v>45948</v>
      </c>
      <c r="G113" s="2">
        <v>46155</v>
      </c>
      <c r="H113">
        <v>8000</v>
      </c>
      <c r="I113" t="s">
        <v>23</v>
      </c>
      <c r="J113" t="s">
        <v>17</v>
      </c>
      <c r="K113" t="s">
        <v>68</v>
      </c>
      <c r="L113">
        <v>8000</v>
      </c>
      <c r="M113" t="str">
        <f t="shared" si="8"/>
        <v>Low</v>
      </c>
      <c r="N113">
        <f t="shared" si="9"/>
        <v>207</v>
      </c>
      <c r="O113">
        <f t="shared" si="10"/>
        <v>0</v>
      </c>
      <c r="P113">
        <f t="shared" ca="1" si="11"/>
        <v>27</v>
      </c>
      <c r="Q113">
        <f t="shared" ca="1" si="14"/>
        <v>0</v>
      </c>
      <c r="R113">
        <f t="shared" ca="1" si="15"/>
        <v>234</v>
      </c>
    </row>
    <row r="114" spans="1:18" x14ac:dyDescent="0.3">
      <c r="A114" t="s">
        <v>253</v>
      </c>
      <c r="B114" t="s">
        <v>254</v>
      </c>
      <c r="C114" t="s">
        <v>21</v>
      </c>
      <c r="D114" t="s">
        <v>45</v>
      </c>
      <c r="E114" s="2">
        <v>45887</v>
      </c>
      <c r="F114" s="2">
        <v>45887</v>
      </c>
      <c r="G114" s="2">
        <v>46230</v>
      </c>
      <c r="H114">
        <v>15000</v>
      </c>
      <c r="I114" t="s">
        <v>16</v>
      </c>
      <c r="J114" t="s">
        <v>35</v>
      </c>
      <c r="K114" t="s">
        <v>68</v>
      </c>
      <c r="L114">
        <v>15000</v>
      </c>
      <c r="M114" t="str">
        <f t="shared" si="8"/>
        <v>High</v>
      </c>
      <c r="N114">
        <f t="shared" si="9"/>
        <v>343</v>
      </c>
      <c r="O114">
        <f t="shared" si="10"/>
        <v>1</v>
      </c>
      <c r="P114">
        <f t="shared" ca="1" si="11"/>
        <v>0</v>
      </c>
      <c r="Q114">
        <f t="shared" ca="1" si="14"/>
        <v>0</v>
      </c>
      <c r="R114">
        <f t="shared" ca="1" si="15"/>
        <v>0</v>
      </c>
    </row>
    <row r="115" spans="1:18" x14ac:dyDescent="0.3">
      <c r="A115" t="s">
        <v>255</v>
      </c>
      <c r="B115" t="s">
        <v>256</v>
      </c>
      <c r="C115" t="s">
        <v>29</v>
      </c>
      <c r="D115" t="s">
        <v>45</v>
      </c>
      <c r="E115" s="2">
        <v>45795</v>
      </c>
      <c r="F115" s="2">
        <v>45795</v>
      </c>
      <c r="G115" s="2">
        <v>46021</v>
      </c>
      <c r="H115">
        <v>12199</v>
      </c>
      <c r="I115" t="s">
        <v>16</v>
      </c>
      <c r="J115" t="s">
        <v>35</v>
      </c>
      <c r="K115" t="s">
        <v>26</v>
      </c>
      <c r="L115">
        <v>12199</v>
      </c>
      <c r="M115" t="str">
        <f t="shared" si="8"/>
        <v>Medium</v>
      </c>
      <c r="N115">
        <f t="shared" si="9"/>
        <v>226</v>
      </c>
      <c r="O115">
        <f t="shared" si="10"/>
        <v>1</v>
      </c>
      <c r="P115">
        <f t="shared" ca="1" si="11"/>
        <v>161</v>
      </c>
      <c r="Q115">
        <f t="shared" ca="1" si="14"/>
        <v>161</v>
      </c>
      <c r="R115">
        <f t="shared" ca="1" si="15"/>
        <v>0</v>
      </c>
    </row>
    <row r="116" spans="1:18" x14ac:dyDescent="0.3">
      <c r="A116" t="s">
        <v>257</v>
      </c>
      <c r="B116" t="s">
        <v>258</v>
      </c>
      <c r="C116" t="s">
        <v>38</v>
      </c>
      <c r="D116" t="s">
        <v>30</v>
      </c>
      <c r="E116" s="2">
        <v>46095</v>
      </c>
      <c r="F116" s="2">
        <v>46095</v>
      </c>
      <c r="G116" s="2">
        <v>46408</v>
      </c>
      <c r="H116">
        <v>12000</v>
      </c>
      <c r="I116" t="s">
        <v>16</v>
      </c>
      <c r="J116" t="s">
        <v>35</v>
      </c>
      <c r="K116" t="s">
        <v>68</v>
      </c>
      <c r="L116">
        <v>12000</v>
      </c>
      <c r="M116" t="str">
        <f t="shared" si="8"/>
        <v>Medium</v>
      </c>
      <c r="N116">
        <f t="shared" si="9"/>
        <v>313</v>
      </c>
      <c r="O116">
        <f t="shared" si="10"/>
        <v>1</v>
      </c>
      <c r="P116">
        <f t="shared" ca="1" si="11"/>
        <v>0</v>
      </c>
      <c r="Q116">
        <f t="shared" ca="1" si="14"/>
        <v>0</v>
      </c>
      <c r="R116">
        <f t="shared" ca="1" si="15"/>
        <v>0</v>
      </c>
    </row>
    <row r="117" spans="1:18" x14ac:dyDescent="0.3">
      <c r="A117" t="s">
        <v>259</v>
      </c>
      <c r="B117" t="s">
        <v>260</v>
      </c>
      <c r="C117" t="s">
        <v>38</v>
      </c>
      <c r="D117" t="s">
        <v>30</v>
      </c>
      <c r="E117" s="2">
        <v>45988</v>
      </c>
      <c r="F117" s="2">
        <v>45988</v>
      </c>
      <c r="G117" s="2">
        <v>46183</v>
      </c>
      <c r="H117">
        <v>8000</v>
      </c>
      <c r="I117" t="s">
        <v>23</v>
      </c>
      <c r="J117" t="s">
        <v>35</v>
      </c>
      <c r="K117" t="s">
        <v>31</v>
      </c>
      <c r="L117">
        <v>8000</v>
      </c>
      <c r="M117" t="str">
        <f t="shared" si="8"/>
        <v>Low</v>
      </c>
      <c r="N117">
        <f t="shared" si="9"/>
        <v>195</v>
      </c>
      <c r="O117">
        <f t="shared" si="10"/>
        <v>0</v>
      </c>
      <c r="P117">
        <f t="shared" ca="1" si="11"/>
        <v>0</v>
      </c>
      <c r="Q117">
        <f t="shared" ca="1" si="14"/>
        <v>0</v>
      </c>
      <c r="R117">
        <f t="shared" ca="1" si="15"/>
        <v>0</v>
      </c>
    </row>
    <row r="118" spans="1:18" x14ac:dyDescent="0.3">
      <c r="A118" t="s">
        <v>261</v>
      </c>
      <c r="B118" t="s">
        <v>262</v>
      </c>
      <c r="C118" t="s">
        <v>21</v>
      </c>
      <c r="D118" t="s">
        <v>30</v>
      </c>
      <c r="E118" s="2">
        <v>45927</v>
      </c>
      <c r="F118" s="2">
        <v>45927</v>
      </c>
      <c r="G118" s="2">
        <v>46177</v>
      </c>
      <c r="H118">
        <v>12000</v>
      </c>
      <c r="I118" t="s">
        <v>16</v>
      </c>
      <c r="J118" t="s">
        <v>17</v>
      </c>
      <c r="K118" t="s">
        <v>68</v>
      </c>
      <c r="L118">
        <v>12000</v>
      </c>
      <c r="M118" t="str">
        <f t="shared" si="8"/>
        <v>Medium</v>
      </c>
      <c r="N118">
        <f t="shared" si="9"/>
        <v>250</v>
      </c>
      <c r="O118">
        <f t="shared" si="10"/>
        <v>1</v>
      </c>
      <c r="P118">
        <f t="shared" ca="1" si="11"/>
        <v>5</v>
      </c>
      <c r="Q118">
        <f t="shared" ca="1" si="14"/>
        <v>5</v>
      </c>
      <c r="R118">
        <f t="shared" ca="1" si="15"/>
        <v>255</v>
      </c>
    </row>
    <row r="119" spans="1:18" x14ac:dyDescent="0.3">
      <c r="A119" t="s">
        <v>263</v>
      </c>
      <c r="B119" t="s">
        <v>264</v>
      </c>
      <c r="C119" t="s">
        <v>38</v>
      </c>
      <c r="D119" t="s">
        <v>22</v>
      </c>
      <c r="E119" s="2">
        <v>46166</v>
      </c>
      <c r="F119" s="2">
        <v>46082</v>
      </c>
      <c r="G119" s="2">
        <v>46439</v>
      </c>
      <c r="H119">
        <v>10000</v>
      </c>
      <c r="I119" t="s">
        <v>16</v>
      </c>
      <c r="J119" t="s">
        <v>17</v>
      </c>
      <c r="K119" t="s">
        <v>68</v>
      </c>
      <c r="L119">
        <v>10000</v>
      </c>
      <c r="M119" t="str">
        <f t="shared" si="8"/>
        <v>Medium</v>
      </c>
      <c r="N119">
        <f t="shared" si="9"/>
        <v>273</v>
      </c>
      <c r="O119">
        <f t="shared" si="10"/>
        <v>1</v>
      </c>
      <c r="P119">
        <f t="shared" ca="1" si="11"/>
        <v>0</v>
      </c>
      <c r="Q119">
        <f t="shared" ca="1" si="14"/>
        <v>0</v>
      </c>
      <c r="R119">
        <f t="shared" ca="1" si="15"/>
        <v>16</v>
      </c>
    </row>
    <row r="120" spans="1:18" x14ac:dyDescent="0.3">
      <c r="A120" t="s">
        <v>265</v>
      </c>
      <c r="B120" t="s">
        <v>266</v>
      </c>
      <c r="C120" t="s">
        <v>29</v>
      </c>
      <c r="D120" t="s">
        <v>45</v>
      </c>
      <c r="E120" s="2">
        <v>45894</v>
      </c>
      <c r="F120" s="2">
        <v>45894</v>
      </c>
      <c r="G120" s="2">
        <v>46156</v>
      </c>
      <c r="H120">
        <v>8000</v>
      </c>
      <c r="I120" t="s">
        <v>16</v>
      </c>
      <c r="J120" t="s">
        <v>17</v>
      </c>
      <c r="K120" t="s">
        <v>26</v>
      </c>
      <c r="L120">
        <v>8000</v>
      </c>
      <c r="M120" t="str">
        <f t="shared" si="8"/>
        <v>Low</v>
      </c>
      <c r="N120">
        <f t="shared" si="9"/>
        <v>262</v>
      </c>
      <c r="O120">
        <f t="shared" si="10"/>
        <v>1</v>
      </c>
      <c r="P120">
        <f t="shared" ca="1" si="11"/>
        <v>26</v>
      </c>
      <c r="Q120">
        <f t="shared" ca="1" si="14"/>
        <v>26</v>
      </c>
      <c r="R120">
        <f t="shared" ca="1" si="15"/>
        <v>288</v>
      </c>
    </row>
    <row r="121" spans="1:18" x14ac:dyDescent="0.3">
      <c r="A121" t="s">
        <v>267</v>
      </c>
      <c r="B121" t="s">
        <v>268</v>
      </c>
      <c r="C121" t="s">
        <v>21</v>
      </c>
      <c r="D121" t="s">
        <v>22</v>
      </c>
      <c r="E121" s="2">
        <v>45874</v>
      </c>
      <c r="F121" s="2">
        <v>45874</v>
      </c>
      <c r="G121" s="2">
        <v>46206</v>
      </c>
      <c r="H121">
        <v>10000</v>
      </c>
      <c r="I121" t="s">
        <v>16</v>
      </c>
      <c r="J121" t="s">
        <v>17</v>
      </c>
      <c r="K121" t="s">
        <v>18</v>
      </c>
      <c r="L121">
        <v>10000</v>
      </c>
      <c r="M121" t="str">
        <f t="shared" si="8"/>
        <v>Medium</v>
      </c>
      <c r="N121">
        <f t="shared" si="9"/>
        <v>332</v>
      </c>
      <c r="O121">
        <f t="shared" si="10"/>
        <v>1</v>
      </c>
      <c r="P121">
        <f t="shared" ca="1" si="11"/>
        <v>0</v>
      </c>
      <c r="Q121">
        <f t="shared" ca="1" si="14"/>
        <v>0</v>
      </c>
      <c r="R121">
        <f t="shared" ca="1" si="15"/>
        <v>308</v>
      </c>
    </row>
    <row r="122" spans="1:18" x14ac:dyDescent="0.3">
      <c r="A122" t="s">
        <v>269</v>
      </c>
      <c r="B122" t="s">
        <v>270</v>
      </c>
      <c r="C122" t="s">
        <v>14</v>
      </c>
      <c r="D122" t="s">
        <v>30</v>
      </c>
      <c r="E122" s="2">
        <v>45958</v>
      </c>
      <c r="F122" s="2">
        <v>45958</v>
      </c>
      <c r="G122" s="2">
        <v>46069</v>
      </c>
      <c r="H122">
        <v>8000</v>
      </c>
      <c r="I122" t="s">
        <v>16</v>
      </c>
      <c r="J122" t="s">
        <v>17</v>
      </c>
      <c r="K122" t="s">
        <v>68</v>
      </c>
      <c r="L122">
        <v>8000</v>
      </c>
      <c r="M122" t="str">
        <f t="shared" si="8"/>
        <v>Low</v>
      </c>
      <c r="N122">
        <f t="shared" si="9"/>
        <v>111</v>
      </c>
      <c r="O122">
        <f t="shared" si="10"/>
        <v>1</v>
      </c>
      <c r="P122">
        <f t="shared" ca="1" si="11"/>
        <v>113</v>
      </c>
      <c r="Q122">
        <f t="shared" ca="1" si="14"/>
        <v>113</v>
      </c>
      <c r="R122">
        <f t="shared" ca="1" si="15"/>
        <v>224</v>
      </c>
    </row>
    <row r="123" spans="1:18" x14ac:dyDescent="0.3">
      <c r="A123" t="s">
        <v>271</v>
      </c>
      <c r="B123" t="s">
        <v>272</v>
      </c>
      <c r="C123" t="s">
        <v>38</v>
      </c>
      <c r="D123" t="s">
        <v>30</v>
      </c>
      <c r="E123" s="2">
        <v>45794</v>
      </c>
      <c r="F123" s="2">
        <v>45794</v>
      </c>
      <c r="G123" s="2">
        <v>46156</v>
      </c>
      <c r="H123">
        <v>12000</v>
      </c>
      <c r="I123" t="s">
        <v>16</v>
      </c>
      <c r="J123" t="s">
        <v>35</v>
      </c>
      <c r="K123" t="s">
        <v>68</v>
      </c>
      <c r="L123">
        <v>12000</v>
      </c>
      <c r="M123" t="str">
        <f t="shared" si="8"/>
        <v>Medium</v>
      </c>
      <c r="N123">
        <f t="shared" si="9"/>
        <v>362</v>
      </c>
      <c r="O123">
        <f t="shared" si="10"/>
        <v>1</v>
      </c>
      <c r="P123">
        <f t="shared" ca="1" si="11"/>
        <v>26</v>
      </c>
      <c r="Q123">
        <f t="shared" ca="1" si="14"/>
        <v>26</v>
      </c>
      <c r="R123">
        <f t="shared" ca="1" si="15"/>
        <v>0</v>
      </c>
    </row>
    <row r="124" spans="1:18" x14ac:dyDescent="0.3">
      <c r="A124" t="s">
        <v>273</v>
      </c>
      <c r="B124" t="s">
        <v>274</v>
      </c>
      <c r="C124" t="s">
        <v>38</v>
      </c>
      <c r="D124" t="s">
        <v>30</v>
      </c>
      <c r="E124" s="2">
        <v>45894</v>
      </c>
      <c r="F124" s="2">
        <v>45894</v>
      </c>
      <c r="G124" s="2">
        <v>46257</v>
      </c>
      <c r="H124">
        <v>10000</v>
      </c>
      <c r="I124" t="s">
        <v>16</v>
      </c>
      <c r="J124" t="s">
        <v>35</v>
      </c>
      <c r="K124" t="s">
        <v>26</v>
      </c>
      <c r="L124">
        <v>10000</v>
      </c>
      <c r="M124" t="str">
        <f t="shared" si="8"/>
        <v>Medium</v>
      </c>
      <c r="N124">
        <f t="shared" si="9"/>
        <v>363</v>
      </c>
      <c r="O124">
        <f t="shared" si="10"/>
        <v>1</v>
      </c>
      <c r="P124">
        <f t="shared" ca="1" si="11"/>
        <v>0</v>
      </c>
      <c r="Q124">
        <f t="shared" ca="1" si="14"/>
        <v>0</v>
      </c>
      <c r="R124">
        <f t="shared" ca="1" si="15"/>
        <v>0</v>
      </c>
    </row>
    <row r="125" spans="1:18" x14ac:dyDescent="0.3">
      <c r="A125" t="s">
        <v>275</v>
      </c>
      <c r="B125" t="s">
        <v>276</v>
      </c>
      <c r="C125" t="s">
        <v>29</v>
      </c>
      <c r="D125" t="s">
        <v>30</v>
      </c>
      <c r="E125" s="2">
        <v>45795</v>
      </c>
      <c r="F125" s="2">
        <v>45795</v>
      </c>
      <c r="G125" s="2">
        <v>46058</v>
      </c>
      <c r="H125">
        <v>12000</v>
      </c>
      <c r="I125" t="s">
        <v>23</v>
      </c>
      <c r="J125" t="s">
        <v>17</v>
      </c>
      <c r="K125" t="s">
        <v>26</v>
      </c>
      <c r="L125">
        <v>12000</v>
      </c>
      <c r="M125" t="str">
        <f t="shared" si="8"/>
        <v>Medium</v>
      </c>
      <c r="N125">
        <f t="shared" si="9"/>
        <v>263</v>
      </c>
      <c r="O125">
        <f t="shared" si="10"/>
        <v>0</v>
      </c>
      <c r="P125">
        <f t="shared" ca="1" si="11"/>
        <v>124</v>
      </c>
      <c r="Q125">
        <f t="shared" ca="1" si="14"/>
        <v>0</v>
      </c>
      <c r="R125">
        <f t="shared" ca="1" si="15"/>
        <v>387</v>
      </c>
    </row>
    <row r="126" spans="1:18" x14ac:dyDescent="0.3">
      <c r="A126" t="s">
        <v>277</v>
      </c>
      <c r="B126" t="s">
        <v>278</v>
      </c>
      <c r="C126" t="s">
        <v>14</v>
      </c>
      <c r="D126" t="s">
        <v>30</v>
      </c>
      <c r="E126" s="2">
        <v>45906</v>
      </c>
      <c r="F126" s="2">
        <v>45906</v>
      </c>
      <c r="G126" s="2">
        <v>46155</v>
      </c>
      <c r="H126">
        <v>15000</v>
      </c>
      <c r="I126" t="s">
        <v>23</v>
      </c>
      <c r="J126" t="s">
        <v>17</v>
      </c>
      <c r="K126" t="s">
        <v>18</v>
      </c>
      <c r="L126">
        <v>15000</v>
      </c>
      <c r="M126" t="str">
        <f t="shared" si="8"/>
        <v>High</v>
      </c>
      <c r="N126">
        <f t="shared" si="9"/>
        <v>249</v>
      </c>
      <c r="O126">
        <f t="shared" si="10"/>
        <v>0</v>
      </c>
      <c r="P126">
        <f t="shared" ca="1" si="11"/>
        <v>27</v>
      </c>
      <c r="Q126">
        <f t="shared" ca="1" si="14"/>
        <v>0</v>
      </c>
      <c r="R126">
        <f t="shared" ca="1" si="15"/>
        <v>276</v>
      </c>
    </row>
    <row r="127" spans="1:18" x14ac:dyDescent="0.3">
      <c r="A127" t="s">
        <v>279</v>
      </c>
      <c r="B127" t="s">
        <v>280</v>
      </c>
      <c r="C127" t="s">
        <v>29</v>
      </c>
      <c r="D127" t="s">
        <v>30</v>
      </c>
      <c r="E127" s="2">
        <v>45927</v>
      </c>
      <c r="F127" s="2">
        <v>45927</v>
      </c>
      <c r="G127" s="2">
        <v>46239</v>
      </c>
      <c r="H127">
        <v>18000</v>
      </c>
      <c r="I127" t="s">
        <v>16</v>
      </c>
      <c r="J127" t="s">
        <v>35</v>
      </c>
      <c r="K127" t="s">
        <v>26</v>
      </c>
      <c r="L127">
        <v>18000</v>
      </c>
      <c r="M127" t="str">
        <f t="shared" si="8"/>
        <v>High</v>
      </c>
      <c r="N127">
        <f t="shared" si="9"/>
        <v>312</v>
      </c>
      <c r="O127">
        <f t="shared" si="10"/>
        <v>1</v>
      </c>
      <c r="P127">
        <f t="shared" ca="1" si="11"/>
        <v>0</v>
      </c>
      <c r="Q127">
        <f t="shared" ca="1" si="14"/>
        <v>0</v>
      </c>
      <c r="R127">
        <f t="shared" ca="1" si="15"/>
        <v>0</v>
      </c>
    </row>
    <row r="128" spans="1:18" x14ac:dyDescent="0.3">
      <c r="A128" t="s">
        <v>281</v>
      </c>
      <c r="B128" t="s">
        <v>282</v>
      </c>
      <c r="C128" t="s">
        <v>38</v>
      </c>
      <c r="D128" t="s">
        <v>30</v>
      </c>
      <c r="E128" s="2">
        <v>46171</v>
      </c>
      <c r="F128" s="2">
        <v>46171</v>
      </c>
      <c r="G128" s="2">
        <v>46312</v>
      </c>
      <c r="H128">
        <v>12000</v>
      </c>
      <c r="I128" t="s">
        <v>23</v>
      </c>
      <c r="J128" t="s">
        <v>17</v>
      </c>
      <c r="K128" t="s">
        <v>31</v>
      </c>
      <c r="L128">
        <v>12000</v>
      </c>
      <c r="M128" t="str">
        <f t="shared" si="8"/>
        <v>Medium</v>
      </c>
      <c r="N128">
        <f t="shared" si="9"/>
        <v>141</v>
      </c>
      <c r="O128">
        <f t="shared" si="10"/>
        <v>0</v>
      </c>
      <c r="P128">
        <f t="shared" ca="1" si="11"/>
        <v>0</v>
      </c>
      <c r="Q128">
        <f t="shared" ca="1" si="14"/>
        <v>0</v>
      </c>
      <c r="R128">
        <f t="shared" ca="1" si="15"/>
        <v>11</v>
      </c>
    </row>
    <row r="129" spans="1:18" x14ac:dyDescent="0.3">
      <c r="A129" t="s">
        <v>283</v>
      </c>
      <c r="B129" t="s">
        <v>284</v>
      </c>
      <c r="C129" t="s">
        <v>38</v>
      </c>
      <c r="D129" t="s">
        <v>30</v>
      </c>
      <c r="E129" s="2">
        <v>45798</v>
      </c>
      <c r="F129" s="2">
        <v>45798</v>
      </c>
      <c r="G129" s="2">
        <v>46133</v>
      </c>
      <c r="H129">
        <v>8000</v>
      </c>
      <c r="I129" t="s">
        <v>23</v>
      </c>
      <c r="J129" t="s">
        <v>35</v>
      </c>
      <c r="K129" t="s">
        <v>31</v>
      </c>
      <c r="L129">
        <v>8000</v>
      </c>
      <c r="M129" t="str">
        <f t="shared" si="8"/>
        <v>Low</v>
      </c>
      <c r="N129">
        <f t="shared" si="9"/>
        <v>335</v>
      </c>
      <c r="O129">
        <f t="shared" si="10"/>
        <v>0</v>
      </c>
      <c r="P129">
        <f t="shared" ca="1" si="11"/>
        <v>49</v>
      </c>
      <c r="Q129">
        <f t="shared" ca="1" si="14"/>
        <v>0</v>
      </c>
      <c r="R129">
        <f t="shared" ca="1" si="15"/>
        <v>0</v>
      </c>
    </row>
    <row r="130" spans="1:18" x14ac:dyDescent="0.3">
      <c r="A130" t="s">
        <v>285</v>
      </c>
      <c r="B130" t="s">
        <v>286</v>
      </c>
      <c r="C130" t="s">
        <v>29</v>
      </c>
      <c r="D130" t="s">
        <v>30</v>
      </c>
      <c r="E130" s="2">
        <v>46077</v>
      </c>
      <c r="F130" s="2">
        <v>46077</v>
      </c>
      <c r="G130" s="2">
        <v>46208</v>
      </c>
      <c r="H130">
        <v>12000</v>
      </c>
      <c r="I130" t="s">
        <v>23</v>
      </c>
      <c r="J130" t="s">
        <v>35</v>
      </c>
      <c r="K130" t="s">
        <v>31</v>
      </c>
      <c r="L130">
        <v>12000</v>
      </c>
      <c r="M130" t="str">
        <f t="shared" ref="M130:M193" si="16">IF(H130&gt;=15000,"High",IF(H130&gt;=10000,"Medium","Low"))</f>
        <v>Medium</v>
      </c>
      <c r="N130">
        <f t="shared" ref="N130:N193" si="17">G130-E130</f>
        <v>131</v>
      </c>
      <c r="O130">
        <f t="shared" ref="O130:O193" si="18">IF(I130="Occupied",1,0)</f>
        <v>0</v>
      </c>
      <c r="P130">
        <f t="shared" ref="P130:P193" ca="1" si="19">IF(G130&lt;TODAY(),TODAY()-G130,0)</f>
        <v>0</v>
      </c>
      <c r="Q130">
        <f t="shared" ref="Q130:Q161" ca="1" si="20">IF(AND(G130&lt;TODAY(),I130="Occupied"),TODAY()-G130,0)</f>
        <v>0</v>
      </c>
      <c r="R130">
        <f t="shared" ref="R130:R161" ca="1" si="21">IF(AND(J130="Pending",E130&lt;TODAY()),TODAY()-E130,0)</f>
        <v>0</v>
      </c>
    </row>
    <row r="131" spans="1:18" x14ac:dyDescent="0.3">
      <c r="A131" t="s">
        <v>287</v>
      </c>
      <c r="B131" t="s">
        <v>288</v>
      </c>
      <c r="C131" t="s">
        <v>14</v>
      </c>
      <c r="D131" t="s">
        <v>30</v>
      </c>
      <c r="E131" s="2">
        <v>45812</v>
      </c>
      <c r="F131" s="2">
        <v>45812</v>
      </c>
      <c r="G131" s="2">
        <v>46105</v>
      </c>
      <c r="H131">
        <v>12000</v>
      </c>
      <c r="I131" t="s">
        <v>16</v>
      </c>
      <c r="J131" t="s">
        <v>17</v>
      </c>
      <c r="K131" t="s">
        <v>68</v>
      </c>
      <c r="L131">
        <v>12000</v>
      </c>
      <c r="M131" t="str">
        <f t="shared" si="16"/>
        <v>Medium</v>
      </c>
      <c r="N131">
        <f t="shared" si="17"/>
        <v>293</v>
      </c>
      <c r="O131">
        <f t="shared" si="18"/>
        <v>1</v>
      </c>
      <c r="P131">
        <f t="shared" ca="1" si="19"/>
        <v>77</v>
      </c>
      <c r="Q131">
        <f t="shared" ca="1" si="20"/>
        <v>77</v>
      </c>
      <c r="R131">
        <f t="shared" ca="1" si="21"/>
        <v>370</v>
      </c>
    </row>
    <row r="132" spans="1:18" x14ac:dyDescent="0.3">
      <c r="A132" t="s">
        <v>289</v>
      </c>
      <c r="B132" t="s">
        <v>290</v>
      </c>
      <c r="C132" t="s">
        <v>14</v>
      </c>
      <c r="D132" t="s">
        <v>22</v>
      </c>
      <c r="E132" s="2">
        <v>45747</v>
      </c>
      <c r="F132" s="2">
        <v>45747</v>
      </c>
      <c r="G132" s="2">
        <v>46053</v>
      </c>
      <c r="H132">
        <v>10000</v>
      </c>
      <c r="I132" t="s">
        <v>16</v>
      </c>
      <c r="J132" t="s">
        <v>17</v>
      </c>
      <c r="K132" t="s">
        <v>26</v>
      </c>
      <c r="L132">
        <v>10000</v>
      </c>
      <c r="M132" t="str">
        <f t="shared" si="16"/>
        <v>Medium</v>
      </c>
      <c r="N132">
        <f t="shared" si="17"/>
        <v>306</v>
      </c>
      <c r="O132">
        <f t="shared" si="18"/>
        <v>1</v>
      </c>
      <c r="P132">
        <f t="shared" ca="1" si="19"/>
        <v>129</v>
      </c>
      <c r="Q132">
        <f t="shared" ca="1" si="20"/>
        <v>129</v>
      </c>
      <c r="R132">
        <f t="shared" ca="1" si="21"/>
        <v>435</v>
      </c>
    </row>
    <row r="133" spans="1:18" x14ac:dyDescent="0.3">
      <c r="A133" t="s">
        <v>291</v>
      </c>
      <c r="B133" t="s">
        <v>292</v>
      </c>
      <c r="C133" t="s">
        <v>14</v>
      </c>
      <c r="D133" t="s">
        <v>30</v>
      </c>
      <c r="E133" s="2">
        <v>45896</v>
      </c>
      <c r="F133" s="2">
        <v>45896</v>
      </c>
      <c r="G133" s="2">
        <v>46122</v>
      </c>
      <c r="H133">
        <v>18000</v>
      </c>
      <c r="I133" t="s">
        <v>23</v>
      </c>
      <c r="J133" t="s">
        <v>17</v>
      </c>
      <c r="K133" t="s">
        <v>18</v>
      </c>
      <c r="L133">
        <v>18000</v>
      </c>
      <c r="M133" t="str">
        <f t="shared" si="16"/>
        <v>High</v>
      </c>
      <c r="N133">
        <f t="shared" si="17"/>
        <v>226</v>
      </c>
      <c r="O133">
        <f t="shared" si="18"/>
        <v>0</v>
      </c>
      <c r="P133">
        <f t="shared" ca="1" si="19"/>
        <v>60</v>
      </c>
      <c r="Q133">
        <f t="shared" ca="1" si="20"/>
        <v>0</v>
      </c>
      <c r="R133">
        <f t="shared" ca="1" si="21"/>
        <v>286</v>
      </c>
    </row>
    <row r="134" spans="1:18" x14ac:dyDescent="0.3">
      <c r="A134" t="s">
        <v>293</v>
      </c>
      <c r="B134" t="s">
        <v>294</v>
      </c>
      <c r="C134" t="s">
        <v>38</v>
      </c>
      <c r="D134" t="s">
        <v>45</v>
      </c>
      <c r="E134" s="2">
        <v>45752</v>
      </c>
      <c r="F134" s="2">
        <v>45752</v>
      </c>
      <c r="G134" s="2">
        <v>46091</v>
      </c>
      <c r="H134">
        <v>12000</v>
      </c>
      <c r="I134" t="s">
        <v>16</v>
      </c>
      <c r="J134" t="s">
        <v>17</v>
      </c>
      <c r="K134" t="s">
        <v>31</v>
      </c>
      <c r="L134">
        <v>12000</v>
      </c>
      <c r="M134" t="str">
        <f t="shared" si="16"/>
        <v>Medium</v>
      </c>
      <c r="N134">
        <f t="shared" si="17"/>
        <v>339</v>
      </c>
      <c r="O134">
        <f t="shared" si="18"/>
        <v>1</v>
      </c>
      <c r="P134">
        <f t="shared" ca="1" si="19"/>
        <v>91</v>
      </c>
      <c r="Q134">
        <f t="shared" ca="1" si="20"/>
        <v>91</v>
      </c>
      <c r="R134">
        <f t="shared" ca="1" si="21"/>
        <v>430</v>
      </c>
    </row>
    <row r="135" spans="1:18" x14ac:dyDescent="0.3">
      <c r="A135" t="s">
        <v>295</v>
      </c>
      <c r="B135" t="s">
        <v>296</v>
      </c>
      <c r="C135" t="s">
        <v>14</v>
      </c>
      <c r="D135" t="s">
        <v>30</v>
      </c>
      <c r="E135" s="2">
        <v>46134</v>
      </c>
      <c r="F135" s="2">
        <v>46134</v>
      </c>
      <c r="G135" s="2">
        <v>46120</v>
      </c>
      <c r="H135">
        <v>12000</v>
      </c>
      <c r="I135" t="s">
        <v>16</v>
      </c>
      <c r="J135" t="s">
        <v>35</v>
      </c>
      <c r="K135" t="s">
        <v>18</v>
      </c>
      <c r="L135">
        <v>12000</v>
      </c>
      <c r="M135" t="str">
        <f t="shared" si="16"/>
        <v>Medium</v>
      </c>
      <c r="N135">
        <f t="shared" si="17"/>
        <v>-14</v>
      </c>
      <c r="O135">
        <f t="shared" si="18"/>
        <v>1</v>
      </c>
      <c r="P135">
        <f t="shared" ca="1" si="19"/>
        <v>62</v>
      </c>
      <c r="Q135">
        <f t="shared" ca="1" si="20"/>
        <v>62</v>
      </c>
      <c r="R135">
        <f t="shared" ca="1" si="21"/>
        <v>0</v>
      </c>
    </row>
    <row r="136" spans="1:18" x14ac:dyDescent="0.3">
      <c r="A136" t="s">
        <v>297</v>
      </c>
      <c r="B136" t="s">
        <v>298</v>
      </c>
      <c r="C136" t="s">
        <v>14</v>
      </c>
      <c r="D136" t="s">
        <v>30</v>
      </c>
      <c r="E136" s="2">
        <v>46148</v>
      </c>
      <c r="F136" s="2">
        <v>46037</v>
      </c>
      <c r="G136" s="2">
        <v>46343</v>
      </c>
      <c r="H136">
        <v>8000</v>
      </c>
      <c r="I136" t="s">
        <v>23</v>
      </c>
      <c r="J136" t="s">
        <v>17</v>
      </c>
      <c r="K136" t="s">
        <v>68</v>
      </c>
      <c r="L136">
        <v>8000</v>
      </c>
      <c r="M136" t="str">
        <f t="shared" si="16"/>
        <v>Low</v>
      </c>
      <c r="N136">
        <f t="shared" si="17"/>
        <v>195</v>
      </c>
      <c r="O136">
        <f t="shared" si="18"/>
        <v>0</v>
      </c>
      <c r="P136">
        <f t="shared" ca="1" si="19"/>
        <v>0</v>
      </c>
      <c r="Q136">
        <f t="shared" ca="1" si="20"/>
        <v>0</v>
      </c>
      <c r="R136">
        <f t="shared" ca="1" si="21"/>
        <v>34</v>
      </c>
    </row>
    <row r="137" spans="1:18" x14ac:dyDescent="0.3">
      <c r="A137" t="s">
        <v>299</v>
      </c>
      <c r="B137" t="s">
        <v>300</v>
      </c>
      <c r="C137" t="s">
        <v>14</v>
      </c>
      <c r="D137" t="s">
        <v>45</v>
      </c>
      <c r="E137" s="2">
        <v>45948</v>
      </c>
      <c r="F137" s="2">
        <v>45948</v>
      </c>
      <c r="G137" s="2">
        <v>46159</v>
      </c>
      <c r="H137">
        <v>12000</v>
      </c>
      <c r="I137" t="s">
        <v>16</v>
      </c>
      <c r="J137" t="s">
        <v>17</v>
      </c>
      <c r="K137" t="s">
        <v>18</v>
      </c>
      <c r="L137">
        <v>12000</v>
      </c>
      <c r="M137" t="str">
        <f t="shared" si="16"/>
        <v>Medium</v>
      </c>
      <c r="N137">
        <f t="shared" si="17"/>
        <v>211</v>
      </c>
      <c r="O137">
        <f t="shared" si="18"/>
        <v>1</v>
      </c>
      <c r="P137">
        <f t="shared" ca="1" si="19"/>
        <v>23</v>
      </c>
      <c r="Q137">
        <f t="shared" ca="1" si="20"/>
        <v>23</v>
      </c>
      <c r="R137">
        <f t="shared" ca="1" si="21"/>
        <v>234</v>
      </c>
    </row>
    <row r="138" spans="1:18" x14ac:dyDescent="0.3">
      <c r="A138" t="s">
        <v>301</v>
      </c>
      <c r="B138" t="s">
        <v>302</v>
      </c>
      <c r="C138" t="s">
        <v>21</v>
      </c>
      <c r="D138" t="s">
        <v>30</v>
      </c>
      <c r="E138" s="2">
        <v>45889</v>
      </c>
      <c r="F138" s="2">
        <v>45889</v>
      </c>
      <c r="G138" s="2">
        <v>46022</v>
      </c>
      <c r="H138">
        <v>8000</v>
      </c>
      <c r="I138" t="s">
        <v>16</v>
      </c>
      <c r="J138" t="s">
        <v>17</v>
      </c>
      <c r="K138" t="s">
        <v>26</v>
      </c>
      <c r="L138">
        <v>8000</v>
      </c>
      <c r="M138" t="str">
        <f t="shared" si="16"/>
        <v>Low</v>
      </c>
      <c r="N138">
        <f t="shared" si="17"/>
        <v>133</v>
      </c>
      <c r="O138">
        <f t="shared" si="18"/>
        <v>1</v>
      </c>
      <c r="P138">
        <f t="shared" ca="1" si="19"/>
        <v>160</v>
      </c>
      <c r="Q138">
        <f t="shared" ca="1" si="20"/>
        <v>160</v>
      </c>
      <c r="R138">
        <f t="shared" ca="1" si="21"/>
        <v>293</v>
      </c>
    </row>
    <row r="139" spans="1:18" x14ac:dyDescent="0.3">
      <c r="A139" t="s">
        <v>303</v>
      </c>
      <c r="B139" t="s">
        <v>304</v>
      </c>
      <c r="C139" t="s">
        <v>29</v>
      </c>
      <c r="D139" t="s">
        <v>30</v>
      </c>
      <c r="E139" s="2">
        <v>46073</v>
      </c>
      <c r="F139" s="2">
        <v>46073</v>
      </c>
      <c r="G139" s="2">
        <v>46424</v>
      </c>
      <c r="H139">
        <v>18000</v>
      </c>
      <c r="I139" t="s">
        <v>16</v>
      </c>
      <c r="J139" t="s">
        <v>35</v>
      </c>
      <c r="K139" t="s">
        <v>31</v>
      </c>
      <c r="L139">
        <v>18000</v>
      </c>
      <c r="M139" t="str">
        <f t="shared" si="16"/>
        <v>High</v>
      </c>
      <c r="N139">
        <f t="shared" si="17"/>
        <v>351</v>
      </c>
      <c r="O139">
        <f t="shared" si="18"/>
        <v>1</v>
      </c>
      <c r="P139">
        <f t="shared" ca="1" si="19"/>
        <v>0</v>
      </c>
      <c r="Q139">
        <f t="shared" ca="1" si="20"/>
        <v>0</v>
      </c>
      <c r="R139">
        <f t="shared" ca="1" si="21"/>
        <v>0</v>
      </c>
    </row>
    <row r="140" spans="1:18" x14ac:dyDescent="0.3">
      <c r="A140" t="s">
        <v>305</v>
      </c>
      <c r="B140" t="s">
        <v>306</v>
      </c>
      <c r="C140" t="s">
        <v>29</v>
      </c>
      <c r="D140" t="s">
        <v>22</v>
      </c>
      <c r="E140" s="2">
        <v>45811</v>
      </c>
      <c r="F140" s="2">
        <v>45811</v>
      </c>
      <c r="G140" s="2">
        <v>45997</v>
      </c>
      <c r="H140">
        <v>8000</v>
      </c>
      <c r="I140" t="s">
        <v>16</v>
      </c>
      <c r="J140" t="s">
        <v>17</v>
      </c>
      <c r="K140" t="s">
        <v>26</v>
      </c>
      <c r="L140">
        <v>8000</v>
      </c>
      <c r="M140" t="str">
        <f t="shared" si="16"/>
        <v>Low</v>
      </c>
      <c r="N140">
        <f t="shared" si="17"/>
        <v>186</v>
      </c>
      <c r="O140">
        <f t="shared" si="18"/>
        <v>1</v>
      </c>
      <c r="P140">
        <f t="shared" ca="1" si="19"/>
        <v>185</v>
      </c>
      <c r="Q140">
        <f t="shared" ca="1" si="20"/>
        <v>185</v>
      </c>
      <c r="R140">
        <f t="shared" ca="1" si="21"/>
        <v>371</v>
      </c>
    </row>
    <row r="141" spans="1:18" x14ac:dyDescent="0.3">
      <c r="A141" t="s">
        <v>307</v>
      </c>
      <c r="B141" t="s">
        <v>308</v>
      </c>
      <c r="C141" t="s">
        <v>29</v>
      </c>
      <c r="D141" t="s">
        <v>45</v>
      </c>
      <c r="E141" s="2">
        <v>45913</v>
      </c>
      <c r="F141" s="2">
        <v>45913</v>
      </c>
      <c r="G141" s="2">
        <v>46277</v>
      </c>
      <c r="H141">
        <v>12000</v>
      </c>
      <c r="I141" t="s">
        <v>16</v>
      </c>
      <c r="J141" t="s">
        <v>17</v>
      </c>
      <c r="K141" t="s">
        <v>18</v>
      </c>
      <c r="L141">
        <v>12000</v>
      </c>
      <c r="M141" t="str">
        <f t="shared" si="16"/>
        <v>Medium</v>
      </c>
      <c r="N141">
        <f t="shared" si="17"/>
        <v>364</v>
      </c>
      <c r="O141">
        <f t="shared" si="18"/>
        <v>1</v>
      </c>
      <c r="P141">
        <f t="shared" ca="1" si="19"/>
        <v>0</v>
      </c>
      <c r="Q141">
        <f t="shared" ca="1" si="20"/>
        <v>0</v>
      </c>
      <c r="R141">
        <f t="shared" ca="1" si="21"/>
        <v>269</v>
      </c>
    </row>
    <row r="142" spans="1:18" x14ac:dyDescent="0.3">
      <c r="A142" t="s">
        <v>309</v>
      </c>
      <c r="B142" t="s">
        <v>310</v>
      </c>
      <c r="C142" t="s">
        <v>14</v>
      </c>
      <c r="D142" t="s">
        <v>30</v>
      </c>
      <c r="E142" s="2">
        <v>46072</v>
      </c>
      <c r="F142" s="2">
        <v>46072</v>
      </c>
      <c r="G142" s="2">
        <v>46167</v>
      </c>
      <c r="H142">
        <v>15000</v>
      </c>
      <c r="I142" t="s">
        <v>16</v>
      </c>
      <c r="J142" t="s">
        <v>35</v>
      </c>
      <c r="K142" t="s">
        <v>68</v>
      </c>
      <c r="L142">
        <v>15000</v>
      </c>
      <c r="M142" t="str">
        <f t="shared" si="16"/>
        <v>High</v>
      </c>
      <c r="N142">
        <f t="shared" si="17"/>
        <v>95</v>
      </c>
      <c r="O142">
        <f t="shared" si="18"/>
        <v>1</v>
      </c>
      <c r="P142">
        <f t="shared" ca="1" si="19"/>
        <v>15</v>
      </c>
      <c r="Q142">
        <f t="shared" ca="1" si="20"/>
        <v>15</v>
      </c>
      <c r="R142">
        <f t="shared" ca="1" si="21"/>
        <v>0</v>
      </c>
    </row>
    <row r="143" spans="1:18" x14ac:dyDescent="0.3">
      <c r="A143" t="s">
        <v>311</v>
      </c>
      <c r="B143" t="s">
        <v>312</v>
      </c>
      <c r="C143" t="s">
        <v>38</v>
      </c>
      <c r="D143" t="s">
        <v>30</v>
      </c>
      <c r="E143" s="2">
        <v>46039</v>
      </c>
      <c r="F143" s="2">
        <v>46039</v>
      </c>
      <c r="G143" s="2">
        <v>46174</v>
      </c>
      <c r="H143">
        <v>12000</v>
      </c>
      <c r="I143" t="s">
        <v>23</v>
      </c>
      <c r="J143" t="s">
        <v>35</v>
      </c>
      <c r="K143" t="s">
        <v>31</v>
      </c>
      <c r="L143">
        <v>12000</v>
      </c>
      <c r="M143" t="str">
        <f t="shared" si="16"/>
        <v>Medium</v>
      </c>
      <c r="N143">
        <f t="shared" si="17"/>
        <v>135</v>
      </c>
      <c r="O143">
        <f t="shared" si="18"/>
        <v>0</v>
      </c>
      <c r="P143">
        <f t="shared" ca="1" si="19"/>
        <v>8</v>
      </c>
      <c r="Q143">
        <f t="shared" ca="1" si="20"/>
        <v>0</v>
      </c>
      <c r="R143">
        <f t="shared" ca="1" si="21"/>
        <v>0</v>
      </c>
    </row>
    <row r="144" spans="1:18" x14ac:dyDescent="0.3">
      <c r="A144" t="s">
        <v>313</v>
      </c>
      <c r="B144" t="s">
        <v>314</v>
      </c>
      <c r="C144" t="s">
        <v>29</v>
      </c>
      <c r="D144" t="s">
        <v>30</v>
      </c>
      <c r="E144" s="2">
        <v>46119</v>
      </c>
      <c r="F144" s="2">
        <v>46119</v>
      </c>
      <c r="G144" s="2">
        <v>46419</v>
      </c>
      <c r="H144">
        <v>8000</v>
      </c>
      <c r="I144" t="s">
        <v>23</v>
      </c>
      <c r="J144" t="s">
        <v>35</v>
      </c>
      <c r="K144" t="s">
        <v>18</v>
      </c>
      <c r="L144">
        <v>8000</v>
      </c>
      <c r="M144" t="str">
        <f t="shared" si="16"/>
        <v>Low</v>
      </c>
      <c r="N144">
        <f t="shared" si="17"/>
        <v>300</v>
      </c>
      <c r="O144">
        <f t="shared" si="18"/>
        <v>0</v>
      </c>
      <c r="P144">
        <f t="shared" ca="1" si="19"/>
        <v>0</v>
      </c>
      <c r="Q144">
        <f t="shared" ca="1" si="20"/>
        <v>0</v>
      </c>
      <c r="R144">
        <f t="shared" ca="1" si="21"/>
        <v>0</v>
      </c>
    </row>
    <row r="145" spans="1:18" x14ac:dyDescent="0.3">
      <c r="A145" t="s">
        <v>315</v>
      </c>
      <c r="B145" t="s">
        <v>316</v>
      </c>
      <c r="C145" t="s">
        <v>14</v>
      </c>
      <c r="D145" t="s">
        <v>30</v>
      </c>
      <c r="E145" s="2">
        <v>45878</v>
      </c>
      <c r="F145" s="2">
        <v>45878</v>
      </c>
      <c r="G145" s="2">
        <v>46036</v>
      </c>
      <c r="H145">
        <v>18000</v>
      </c>
      <c r="I145" t="s">
        <v>16</v>
      </c>
      <c r="J145" t="s">
        <v>17</v>
      </c>
      <c r="K145" t="s">
        <v>31</v>
      </c>
      <c r="L145">
        <v>18000</v>
      </c>
      <c r="M145" t="str">
        <f t="shared" si="16"/>
        <v>High</v>
      </c>
      <c r="N145">
        <f t="shared" si="17"/>
        <v>158</v>
      </c>
      <c r="O145">
        <f t="shared" si="18"/>
        <v>1</v>
      </c>
      <c r="P145">
        <f t="shared" ca="1" si="19"/>
        <v>146</v>
      </c>
      <c r="Q145">
        <f t="shared" ca="1" si="20"/>
        <v>146</v>
      </c>
      <c r="R145">
        <f t="shared" ca="1" si="21"/>
        <v>304</v>
      </c>
    </row>
    <row r="146" spans="1:18" x14ac:dyDescent="0.3">
      <c r="A146" t="s">
        <v>317</v>
      </c>
      <c r="B146" t="s">
        <v>318</v>
      </c>
      <c r="C146" t="s">
        <v>14</v>
      </c>
      <c r="D146" t="s">
        <v>45</v>
      </c>
      <c r="E146" s="2">
        <v>45982</v>
      </c>
      <c r="F146" s="2">
        <v>45982</v>
      </c>
      <c r="G146" s="2">
        <v>46202</v>
      </c>
      <c r="H146">
        <v>15000</v>
      </c>
      <c r="I146" t="s">
        <v>16</v>
      </c>
      <c r="J146" t="s">
        <v>17</v>
      </c>
      <c r="K146" t="s">
        <v>26</v>
      </c>
      <c r="L146">
        <v>15000</v>
      </c>
      <c r="M146" t="str">
        <f t="shared" si="16"/>
        <v>High</v>
      </c>
      <c r="N146">
        <f t="shared" si="17"/>
        <v>220</v>
      </c>
      <c r="O146">
        <f t="shared" si="18"/>
        <v>1</v>
      </c>
      <c r="P146">
        <f t="shared" ca="1" si="19"/>
        <v>0</v>
      </c>
      <c r="Q146">
        <f t="shared" ca="1" si="20"/>
        <v>0</v>
      </c>
      <c r="R146">
        <f t="shared" ca="1" si="21"/>
        <v>200</v>
      </c>
    </row>
    <row r="147" spans="1:18" x14ac:dyDescent="0.3">
      <c r="A147" t="s">
        <v>319</v>
      </c>
      <c r="B147" t="s">
        <v>320</v>
      </c>
      <c r="C147" t="s">
        <v>38</v>
      </c>
      <c r="D147" t="s">
        <v>45</v>
      </c>
      <c r="E147" s="2">
        <v>45750</v>
      </c>
      <c r="F147" s="2">
        <v>45750</v>
      </c>
      <c r="G147" s="2">
        <v>45867</v>
      </c>
      <c r="H147">
        <v>18000</v>
      </c>
      <c r="I147" t="s">
        <v>16</v>
      </c>
      <c r="J147" t="s">
        <v>17</v>
      </c>
      <c r="K147" t="s">
        <v>18</v>
      </c>
      <c r="L147">
        <v>18000</v>
      </c>
      <c r="M147" t="str">
        <f t="shared" si="16"/>
        <v>High</v>
      </c>
      <c r="N147">
        <f t="shared" si="17"/>
        <v>117</v>
      </c>
      <c r="O147">
        <f t="shared" si="18"/>
        <v>1</v>
      </c>
      <c r="P147">
        <f t="shared" ca="1" si="19"/>
        <v>315</v>
      </c>
      <c r="Q147">
        <f t="shared" ca="1" si="20"/>
        <v>315</v>
      </c>
      <c r="R147">
        <f t="shared" ca="1" si="21"/>
        <v>432</v>
      </c>
    </row>
    <row r="148" spans="1:18" x14ac:dyDescent="0.3">
      <c r="A148" t="s">
        <v>321</v>
      </c>
      <c r="B148" t="s">
        <v>322</v>
      </c>
      <c r="C148" t="s">
        <v>14</v>
      </c>
      <c r="D148" t="s">
        <v>30</v>
      </c>
      <c r="E148" s="2">
        <v>45925</v>
      </c>
      <c r="F148" s="2">
        <v>45925</v>
      </c>
      <c r="G148" s="2">
        <v>46219</v>
      </c>
      <c r="H148">
        <v>10000</v>
      </c>
      <c r="I148" t="s">
        <v>23</v>
      </c>
      <c r="J148" t="s">
        <v>35</v>
      </c>
      <c r="K148" t="s">
        <v>31</v>
      </c>
      <c r="L148">
        <v>10000</v>
      </c>
      <c r="M148" t="str">
        <f t="shared" si="16"/>
        <v>Medium</v>
      </c>
      <c r="N148">
        <f t="shared" si="17"/>
        <v>294</v>
      </c>
      <c r="O148">
        <f t="shared" si="18"/>
        <v>0</v>
      </c>
      <c r="P148">
        <f t="shared" ca="1" si="19"/>
        <v>0</v>
      </c>
      <c r="Q148">
        <f t="shared" ca="1" si="20"/>
        <v>0</v>
      </c>
      <c r="R148">
        <f t="shared" ca="1" si="21"/>
        <v>0</v>
      </c>
    </row>
    <row r="149" spans="1:18" x14ac:dyDescent="0.3">
      <c r="A149" t="s">
        <v>323</v>
      </c>
      <c r="B149" t="s">
        <v>324</v>
      </c>
      <c r="C149" t="s">
        <v>14</v>
      </c>
      <c r="D149" t="s">
        <v>30</v>
      </c>
      <c r="E149" s="2">
        <v>45818</v>
      </c>
      <c r="F149" s="2">
        <v>45818</v>
      </c>
      <c r="G149" s="2">
        <v>46006</v>
      </c>
      <c r="H149">
        <v>10000</v>
      </c>
      <c r="I149" t="s">
        <v>16</v>
      </c>
      <c r="J149" t="s">
        <v>35</v>
      </c>
      <c r="K149" t="s">
        <v>26</v>
      </c>
      <c r="L149">
        <v>10000</v>
      </c>
      <c r="M149" t="str">
        <f t="shared" si="16"/>
        <v>Medium</v>
      </c>
      <c r="N149">
        <f t="shared" si="17"/>
        <v>188</v>
      </c>
      <c r="O149">
        <f t="shared" si="18"/>
        <v>1</v>
      </c>
      <c r="P149">
        <f t="shared" ca="1" si="19"/>
        <v>176</v>
      </c>
      <c r="Q149">
        <f t="shared" ca="1" si="20"/>
        <v>176</v>
      </c>
      <c r="R149">
        <f t="shared" ca="1" si="21"/>
        <v>0</v>
      </c>
    </row>
    <row r="150" spans="1:18" x14ac:dyDescent="0.3">
      <c r="A150" t="s">
        <v>325</v>
      </c>
      <c r="B150" t="s">
        <v>326</v>
      </c>
      <c r="C150" t="s">
        <v>21</v>
      </c>
      <c r="D150" t="s">
        <v>22</v>
      </c>
      <c r="E150" s="2">
        <v>46016</v>
      </c>
      <c r="F150" s="2">
        <v>46016</v>
      </c>
      <c r="G150" s="2">
        <v>46145</v>
      </c>
      <c r="H150">
        <v>18000</v>
      </c>
      <c r="I150" t="s">
        <v>16</v>
      </c>
      <c r="J150" t="s">
        <v>17</v>
      </c>
      <c r="K150" t="s">
        <v>68</v>
      </c>
      <c r="L150">
        <v>18000</v>
      </c>
      <c r="M150" t="str">
        <f t="shared" si="16"/>
        <v>High</v>
      </c>
      <c r="N150">
        <f t="shared" si="17"/>
        <v>129</v>
      </c>
      <c r="O150">
        <f t="shared" si="18"/>
        <v>1</v>
      </c>
      <c r="P150">
        <f t="shared" ca="1" si="19"/>
        <v>37</v>
      </c>
      <c r="Q150">
        <f t="shared" ca="1" si="20"/>
        <v>37</v>
      </c>
      <c r="R150">
        <f t="shared" ca="1" si="21"/>
        <v>166</v>
      </c>
    </row>
    <row r="151" spans="1:18" x14ac:dyDescent="0.3">
      <c r="A151" t="s">
        <v>327</v>
      </c>
      <c r="B151" t="s">
        <v>328</v>
      </c>
      <c r="C151" t="s">
        <v>29</v>
      </c>
      <c r="D151" t="s">
        <v>30</v>
      </c>
      <c r="E151" s="2">
        <v>45704</v>
      </c>
      <c r="F151" s="2">
        <v>45704</v>
      </c>
      <c r="G151" s="2">
        <v>45927</v>
      </c>
      <c r="H151">
        <v>10000</v>
      </c>
      <c r="I151" t="s">
        <v>16</v>
      </c>
      <c r="J151" t="s">
        <v>17</v>
      </c>
      <c r="K151" t="s">
        <v>68</v>
      </c>
      <c r="L151">
        <v>10000</v>
      </c>
      <c r="M151" t="str">
        <f t="shared" si="16"/>
        <v>Medium</v>
      </c>
      <c r="N151">
        <f t="shared" si="17"/>
        <v>223</v>
      </c>
      <c r="O151">
        <f t="shared" si="18"/>
        <v>1</v>
      </c>
      <c r="P151">
        <f t="shared" ca="1" si="19"/>
        <v>255</v>
      </c>
      <c r="Q151">
        <f t="shared" ca="1" si="20"/>
        <v>255</v>
      </c>
      <c r="R151">
        <f t="shared" ca="1" si="21"/>
        <v>478</v>
      </c>
    </row>
    <row r="152" spans="1:18" x14ac:dyDescent="0.3">
      <c r="A152" t="s">
        <v>329</v>
      </c>
      <c r="B152" t="s">
        <v>330</v>
      </c>
      <c r="C152" t="s">
        <v>21</v>
      </c>
      <c r="D152" t="s">
        <v>30</v>
      </c>
      <c r="E152" s="2">
        <v>45837</v>
      </c>
      <c r="F152" s="2">
        <v>45837</v>
      </c>
      <c r="G152" s="2">
        <v>46018</v>
      </c>
      <c r="H152">
        <v>15000</v>
      </c>
      <c r="I152" t="s">
        <v>16</v>
      </c>
      <c r="J152" t="s">
        <v>35</v>
      </c>
      <c r="K152" t="s">
        <v>26</v>
      </c>
      <c r="L152">
        <v>15000</v>
      </c>
      <c r="M152" t="str">
        <f t="shared" si="16"/>
        <v>High</v>
      </c>
      <c r="N152">
        <f t="shared" si="17"/>
        <v>181</v>
      </c>
      <c r="O152">
        <f t="shared" si="18"/>
        <v>1</v>
      </c>
      <c r="P152">
        <f t="shared" ca="1" si="19"/>
        <v>164</v>
      </c>
      <c r="Q152">
        <f t="shared" ca="1" si="20"/>
        <v>164</v>
      </c>
      <c r="R152">
        <f t="shared" ca="1" si="21"/>
        <v>0</v>
      </c>
    </row>
    <row r="153" spans="1:18" x14ac:dyDescent="0.3">
      <c r="A153" t="s">
        <v>331</v>
      </c>
      <c r="B153" t="s">
        <v>332</v>
      </c>
      <c r="C153" t="s">
        <v>21</v>
      </c>
      <c r="D153" t="s">
        <v>45</v>
      </c>
      <c r="E153" s="2">
        <v>46172</v>
      </c>
      <c r="F153" s="2">
        <v>46008</v>
      </c>
      <c r="G153" s="2">
        <v>46183</v>
      </c>
      <c r="H153">
        <v>18000</v>
      </c>
      <c r="I153" t="s">
        <v>23</v>
      </c>
      <c r="J153" t="s">
        <v>17</v>
      </c>
      <c r="K153" t="s">
        <v>31</v>
      </c>
      <c r="L153">
        <v>18000</v>
      </c>
      <c r="M153" t="str">
        <f t="shared" si="16"/>
        <v>High</v>
      </c>
      <c r="N153">
        <f t="shared" si="17"/>
        <v>11</v>
      </c>
      <c r="O153">
        <f t="shared" si="18"/>
        <v>0</v>
      </c>
      <c r="P153">
        <f t="shared" ca="1" si="19"/>
        <v>0</v>
      </c>
      <c r="Q153">
        <f t="shared" ca="1" si="20"/>
        <v>0</v>
      </c>
      <c r="R153">
        <f t="shared" ca="1" si="21"/>
        <v>10</v>
      </c>
    </row>
    <row r="154" spans="1:18" x14ac:dyDescent="0.3">
      <c r="A154" t="s">
        <v>333</v>
      </c>
      <c r="B154" t="s">
        <v>334</v>
      </c>
      <c r="C154" t="s">
        <v>38</v>
      </c>
      <c r="D154" t="s">
        <v>22</v>
      </c>
      <c r="E154" s="2">
        <v>46032</v>
      </c>
      <c r="F154" s="2">
        <v>46032</v>
      </c>
      <c r="G154" s="2">
        <v>46187</v>
      </c>
      <c r="H154">
        <v>12000</v>
      </c>
      <c r="I154" t="s">
        <v>23</v>
      </c>
      <c r="J154" t="s">
        <v>35</v>
      </c>
      <c r="K154" t="s">
        <v>18</v>
      </c>
      <c r="L154">
        <v>12000</v>
      </c>
      <c r="M154" t="str">
        <f t="shared" si="16"/>
        <v>Medium</v>
      </c>
      <c r="N154">
        <f t="shared" si="17"/>
        <v>155</v>
      </c>
      <c r="O154">
        <f t="shared" si="18"/>
        <v>0</v>
      </c>
      <c r="P154">
        <f t="shared" ca="1" si="19"/>
        <v>0</v>
      </c>
      <c r="Q154">
        <f t="shared" ca="1" si="20"/>
        <v>0</v>
      </c>
      <c r="R154">
        <f t="shared" ca="1" si="21"/>
        <v>0</v>
      </c>
    </row>
    <row r="155" spans="1:18" x14ac:dyDescent="0.3">
      <c r="A155" t="s">
        <v>335</v>
      </c>
      <c r="B155" t="s">
        <v>336</v>
      </c>
      <c r="C155" t="s">
        <v>29</v>
      </c>
      <c r="D155" t="s">
        <v>30</v>
      </c>
      <c r="E155" s="2">
        <v>45827</v>
      </c>
      <c r="F155" s="2">
        <v>45827</v>
      </c>
      <c r="G155" s="2">
        <v>46102</v>
      </c>
      <c r="H155">
        <v>12000</v>
      </c>
      <c r="I155" t="s">
        <v>16</v>
      </c>
      <c r="J155" t="s">
        <v>17</v>
      </c>
      <c r="K155" t="s">
        <v>31</v>
      </c>
      <c r="L155">
        <v>12000</v>
      </c>
      <c r="M155" t="str">
        <f t="shared" si="16"/>
        <v>Medium</v>
      </c>
      <c r="N155">
        <f t="shared" si="17"/>
        <v>275</v>
      </c>
      <c r="O155">
        <f t="shared" si="18"/>
        <v>1</v>
      </c>
      <c r="P155">
        <f t="shared" ca="1" si="19"/>
        <v>80</v>
      </c>
      <c r="Q155">
        <f t="shared" ca="1" si="20"/>
        <v>80</v>
      </c>
      <c r="R155">
        <f t="shared" ca="1" si="21"/>
        <v>355</v>
      </c>
    </row>
    <row r="156" spans="1:18" x14ac:dyDescent="0.3">
      <c r="A156" t="s">
        <v>337</v>
      </c>
      <c r="B156" t="s">
        <v>338</v>
      </c>
      <c r="C156" t="s">
        <v>21</v>
      </c>
      <c r="D156" t="s">
        <v>22</v>
      </c>
      <c r="E156" s="2">
        <v>46079</v>
      </c>
      <c r="F156" s="2">
        <v>46079</v>
      </c>
      <c r="G156" s="2">
        <v>46426</v>
      </c>
      <c r="H156">
        <v>12000</v>
      </c>
      <c r="I156" t="s">
        <v>23</v>
      </c>
      <c r="J156" t="s">
        <v>35</v>
      </c>
      <c r="K156" t="s">
        <v>31</v>
      </c>
      <c r="L156">
        <v>12000</v>
      </c>
      <c r="M156" t="str">
        <f t="shared" si="16"/>
        <v>Medium</v>
      </c>
      <c r="N156">
        <f t="shared" si="17"/>
        <v>347</v>
      </c>
      <c r="O156">
        <f t="shared" si="18"/>
        <v>0</v>
      </c>
      <c r="P156">
        <f t="shared" ca="1" si="19"/>
        <v>0</v>
      </c>
      <c r="Q156">
        <f t="shared" ca="1" si="20"/>
        <v>0</v>
      </c>
      <c r="R156">
        <f t="shared" ca="1" si="21"/>
        <v>0</v>
      </c>
    </row>
    <row r="157" spans="1:18" x14ac:dyDescent="0.3">
      <c r="A157" t="s">
        <v>339</v>
      </c>
      <c r="B157" t="s">
        <v>340</v>
      </c>
      <c r="C157" t="s">
        <v>14</v>
      </c>
      <c r="D157" t="s">
        <v>30</v>
      </c>
      <c r="E157" s="2">
        <v>46139</v>
      </c>
      <c r="F157" s="2">
        <v>46139</v>
      </c>
      <c r="G157" s="2">
        <v>46398</v>
      </c>
      <c r="H157">
        <v>8000</v>
      </c>
      <c r="I157" t="s">
        <v>16</v>
      </c>
      <c r="J157" t="s">
        <v>17</v>
      </c>
      <c r="K157" t="s">
        <v>26</v>
      </c>
      <c r="L157">
        <v>8000</v>
      </c>
      <c r="M157" t="str">
        <f t="shared" si="16"/>
        <v>Low</v>
      </c>
      <c r="N157">
        <f t="shared" si="17"/>
        <v>259</v>
      </c>
      <c r="O157">
        <f t="shared" si="18"/>
        <v>1</v>
      </c>
      <c r="P157">
        <f t="shared" ca="1" si="19"/>
        <v>0</v>
      </c>
      <c r="Q157">
        <f t="shared" ca="1" si="20"/>
        <v>0</v>
      </c>
      <c r="R157">
        <f t="shared" ca="1" si="21"/>
        <v>43</v>
      </c>
    </row>
    <row r="158" spans="1:18" x14ac:dyDescent="0.3">
      <c r="A158" t="s">
        <v>341</v>
      </c>
      <c r="B158" t="s">
        <v>342</v>
      </c>
      <c r="C158" t="s">
        <v>21</v>
      </c>
      <c r="D158" t="s">
        <v>30</v>
      </c>
      <c r="E158" s="2">
        <v>45929</v>
      </c>
      <c r="F158" s="2">
        <v>45929</v>
      </c>
      <c r="G158" s="2">
        <v>46050</v>
      </c>
      <c r="H158">
        <v>12000</v>
      </c>
      <c r="I158" t="s">
        <v>23</v>
      </c>
      <c r="J158" t="s">
        <v>17</v>
      </c>
      <c r="K158" t="s">
        <v>68</v>
      </c>
      <c r="L158">
        <v>12000</v>
      </c>
      <c r="M158" t="str">
        <f t="shared" si="16"/>
        <v>Medium</v>
      </c>
      <c r="N158">
        <f t="shared" si="17"/>
        <v>121</v>
      </c>
      <c r="O158">
        <f t="shared" si="18"/>
        <v>0</v>
      </c>
      <c r="P158">
        <f t="shared" ca="1" si="19"/>
        <v>132</v>
      </c>
      <c r="Q158">
        <f t="shared" ca="1" si="20"/>
        <v>0</v>
      </c>
      <c r="R158">
        <f t="shared" ca="1" si="21"/>
        <v>253</v>
      </c>
    </row>
    <row r="159" spans="1:18" x14ac:dyDescent="0.3">
      <c r="A159" t="s">
        <v>343</v>
      </c>
      <c r="B159" t="s">
        <v>344</v>
      </c>
      <c r="C159" t="s">
        <v>38</v>
      </c>
      <c r="D159" t="s">
        <v>30</v>
      </c>
      <c r="E159" s="2">
        <v>46003</v>
      </c>
      <c r="F159" s="2">
        <v>46003</v>
      </c>
      <c r="G159" s="2">
        <v>46286</v>
      </c>
      <c r="H159">
        <v>12000</v>
      </c>
      <c r="I159" t="s">
        <v>23</v>
      </c>
      <c r="J159" t="s">
        <v>35</v>
      </c>
      <c r="K159" t="s">
        <v>31</v>
      </c>
      <c r="L159">
        <v>12000</v>
      </c>
      <c r="M159" t="str">
        <f t="shared" si="16"/>
        <v>Medium</v>
      </c>
      <c r="N159">
        <f t="shared" si="17"/>
        <v>283</v>
      </c>
      <c r="O159">
        <f t="shared" si="18"/>
        <v>0</v>
      </c>
      <c r="P159">
        <f t="shared" ca="1" si="19"/>
        <v>0</v>
      </c>
      <c r="Q159">
        <f t="shared" ca="1" si="20"/>
        <v>0</v>
      </c>
      <c r="R159">
        <f t="shared" ca="1" si="21"/>
        <v>0</v>
      </c>
    </row>
    <row r="160" spans="1:18" x14ac:dyDescent="0.3">
      <c r="A160" t="s">
        <v>345</v>
      </c>
      <c r="B160" t="s">
        <v>346</v>
      </c>
      <c r="C160" t="s">
        <v>29</v>
      </c>
      <c r="D160" t="s">
        <v>30</v>
      </c>
      <c r="E160" s="2">
        <v>46111</v>
      </c>
      <c r="F160" s="2">
        <v>46111</v>
      </c>
      <c r="G160" s="2">
        <v>46460</v>
      </c>
      <c r="H160">
        <v>18000</v>
      </c>
      <c r="I160" t="s">
        <v>16</v>
      </c>
      <c r="J160" t="s">
        <v>35</v>
      </c>
      <c r="K160" t="s">
        <v>26</v>
      </c>
      <c r="L160">
        <v>18000</v>
      </c>
      <c r="M160" t="str">
        <f t="shared" si="16"/>
        <v>High</v>
      </c>
      <c r="N160">
        <f t="shared" si="17"/>
        <v>349</v>
      </c>
      <c r="O160">
        <f t="shared" si="18"/>
        <v>1</v>
      </c>
      <c r="P160">
        <f t="shared" ca="1" si="19"/>
        <v>0</v>
      </c>
      <c r="Q160">
        <f t="shared" ca="1" si="20"/>
        <v>0</v>
      </c>
      <c r="R160">
        <f t="shared" ca="1" si="21"/>
        <v>0</v>
      </c>
    </row>
    <row r="161" spans="1:18" x14ac:dyDescent="0.3">
      <c r="A161" t="s">
        <v>347</v>
      </c>
      <c r="B161" t="s">
        <v>348</v>
      </c>
      <c r="C161" t="s">
        <v>21</v>
      </c>
      <c r="D161" t="s">
        <v>22</v>
      </c>
      <c r="E161" s="2">
        <v>46021</v>
      </c>
      <c r="F161" s="2">
        <v>46021</v>
      </c>
      <c r="G161" s="2">
        <v>46234</v>
      </c>
      <c r="H161">
        <v>18000</v>
      </c>
      <c r="I161" t="s">
        <v>16</v>
      </c>
      <c r="J161" t="s">
        <v>35</v>
      </c>
      <c r="K161" t="s">
        <v>18</v>
      </c>
      <c r="L161">
        <v>18000</v>
      </c>
      <c r="M161" t="str">
        <f t="shared" si="16"/>
        <v>High</v>
      </c>
      <c r="N161">
        <f t="shared" si="17"/>
        <v>213</v>
      </c>
      <c r="O161">
        <f t="shared" si="18"/>
        <v>1</v>
      </c>
      <c r="P161">
        <f t="shared" ca="1" si="19"/>
        <v>0</v>
      </c>
      <c r="Q161">
        <f t="shared" ca="1" si="20"/>
        <v>0</v>
      </c>
      <c r="R161">
        <f t="shared" ca="1" si="21"/>
        <v>0</v>
      </c>
    </row>
    <row r="162" spans="1:18" x14ac:dyDescent="0.3">
      <c r="A162" t="s">
        <v>349</v>
      </c>
      <c r="B162" t="s">
        <v>350</v>
      </c>
      <c r="C162" t="s">
        <v>29</v>
      </c>
      <c r="D162" t="s">
        <v>30</v>
      </c>
      <c r="E162" s="2">
        <v>45805</v>
      </c>
      <c r="F162" s="2">
        <v>45805</v>
      </c>
      <c r="G162" s="2">
        <v>45921</v>
      </c>
      <c r="H162">
        <v>12000</v>
      </c>
      <c r="I162" t="s">
        <v>23</v>
      </c>
      <c r="J162" t="s">
        <v>17</v>
      </c>
      <c r="K162" t="s">
        <v>68</v>
      </c>
      <c r="L162">
        <v>12000</v>
      </c>
      <c r="M162" t="str">
        <f t="shared" si="16"/>
        <v>Medium</v>
      </c>
      <c r="N162">
        <f t="shared" si="17"/>
        <v>116</v>
      </c>
      <c r="O162">
        <f t="shared" si="18"/>
        <v>0</v>
      </c>
      <c r="P162">
        <f t="shared" ca="1" si="19"/>
        <v>261</v>
      </c>
      <c r="Q162">
        <f t="shared" ref="Q162:Q193" ca="1" si="22">IF(AND(G162&lt;TODAY(),I162="Occupied"),TODAY()-G162,0)</f>
        <v>0</v>
      </c>
      <c r="R162">
        <f t="shared" ref="R162:R193" ca="1" si="23">IF(AND(J162="Pending",E162&lt;TODAY()),TODAY()-E162,0)</f>
        <v>377</v>
      </c>
    </row>
    <row r="163" spans="1:18" x14ac:dyDescent="0.3">
      <c r="A163" t="s">
        <v>351</v>
      </c>
      <c r="B163" t="s">
        <v>352</v>
      </c>
      <c r="C163" t="s">
        <v>14</v>
      </c>
      <c r="D163" t="s">
        <v>30</v>
      </c>
      <c r="E163" s="2">
        <v>45745</v>
      </c>
      <c r="F163" s="2">
        <v>45745</v>
      </c>
      <c r="G163" s="2">
        <v>46027</v>
      </c>
      <c r="H163">
        <v>12000</v>
      </c>
      <c r="I163" t="s">
        <v>23</v>
      </c>
      <c r="J163" t="s">
        <v>17</v>
      </c>
      <c r="K163" t="s">
        <v>26</v>
      </c>
      <c r="L163">
        <v>12000</v>
      </c>
      <c r="M163" t="str">
        <f t="shared" si="16"/>
        <v>Medium</v>
      </c>
      <c r="N163">
        <f t="shared" si="17"/>
        <v>282</v>
      </c>
      <c r="O163">
        <f t="shared" si="18"/>
        <v>0</v>
      </c>
      <c r="P163">
        <f t="shared" ca="1" si="19"/>
        <v>155</v>
      </c>
      <c r="Q163">
        <f t="shared" ca="1" si="22"/>
        <v>0</v>
      </c>
      <c r="R163">
        <f t="shared" ca="1" si="23"/>
        <v>437</v>
      </c>
    </row>
    <row r="164" spans="1:18" x14ac:dyDescent="0.3">
      <c r="A164" t="s">
        <v>353</v>
      </c>
      <c r="B164" t="s">
        <v>354</v>
      </c>
      <c r="C164" t="s">
        <v>21</v>
      </c>
      <c r="D164" t="s">
        <v>30</v>
      </c>
      <c r="E164" s="2">
        <v>45814</v>
      </c>
      <c r="F164" s="2">
        <v>45814</v>
      </c>
      <c r="G164" s="2">
        <v>45941</v>
      </c>
      <c r="H164">
        <v>12000</v>
      </c>
      <c r="I164" t="s">
        <v>16</v>
      </c>
      <c r="J164" t="s">
        <v>17</v>
      </c>
      <c r="K164" t="s">
        <v>68</v>
      </c>
      <c r="L164">
        <v>12000</v>
      </c>
      <c r="M164" t="str">
        <f t="shared" si="16"/>
        <v>Medium</v>
      </c>
      <c r="N164">
        <f t="shared" si="17"/>
        <v>127</v>
      </c>
      <c r="O164">
        <f t="shared" si="18"/>
        <v>1</v>
      </c>
      <c r="P164">
        <f t="shared" ca="1" si="19"/>
        <v>241</v>
      </c>
      <c r="Q164">
        <f t="shared" ca="1" si="22"/>
        <v>241</v>
      </c>
      <c r="R164">
        <f t="shared" ca="1" si="23"/>
        <v>368</v>
      </c>
    </row>
    <row r="165" spans="1:18" x14ac:dyDescent="0.3">
      <c r="A165" t="s">
        <v>355</v>
      </c>
      <c r="B165" t="s">
        <v>356</v>
      </c>
      <c r="C165" t="s">
        <v>38</v>
      </c>
      <c r="D165" t="s">
        <v>30</v>
      </c>
      <c r="E165" s="2">
        <v>45756</v>
      </c>
      <c r="F165" s="2">
        <v>45756</v>
      </c>
      <c r="G165" s="2">
        <v>46167</v>
      </c>
      <c r="H165">
        <v>12000</v>
      </c>
      <c r="I165" t="s">
        <v>16</v>
      </c>
      <c r="J165" t="s">
        <v>35</v>
      </c>
      <c r="K165" t="s">
        <v>68</v>
      </c>
      <c r="L165">
        <v>12000</v>
      </c>
      <c r="M165" t="str">
        <f t="shared" si="16"/>
        <v>Medium</v>
      </c>
      <c r="N165">
        <f t="shared" si="17"/>
        <v>411</v>
      </c>
      <c r="O165">
        <f t="shared" si="18"/>
        <v>1</v>
      </c>
      <c r="P165">
        <f t="shared" ca="1" si="19"/>
        <v>15</v>
      </c>
      <c r="Q165">
        <f t="shared" ca="1" si="22"/>
        <v>15</v>
      </c>
      <c r="R165">
        <f t="shared" ca="1" si="23"/>
        <v>0</v>
      </c>
    </row>
    <row r="166" spans="1:18" x14ac:dyDescent="0.3">
      <c r="A166" t="s">
        <v>357</v>
      </c>
      <c r="B166" t="s">
        <v>358</v>
      </c>
      <c r="C166" t="s">
        <v>21</v>
      </c>
      <c r="D166" t="s">
        <v>30</v>
      </c>
      <c r="E166" s="2">
        <v>45679</v>
      </c>
      <c r="F166" s="2">
        <v>45679</v>
      </c>
      <c r="G166" s="2">
        <v>45969</v>
      </c>
      <c r="H166">
        <v>8000</v>
      </c>
      <c r="I166" t="s">
        <v>23</v>
      </c>
      <c r="J166" t="s">
        <v>17</v>
      </c>
      <c r="K166" t="s">
        <v>31</v>
      </c>
      <c r="L166">
        <v>8000</v>
      </c>
      <c r="M166" t="str">
        <f t="shared" si="16"/>
        <v>Low</v>
      </c>
      <c r="N166">
        <f t="shared" si="17"/>
        <v>290</v>
      </c>
      <c r="O166">
        <f t="shared" si="18"/>
        <v>0</v>
      </c>
      <c r="P166">
        <f t="shared" ca="1" si="19"/>
        <v>213</v>
      </c>
      <c r="Q166">
        <f t="shared" ca="1" si="22"/>
        <v>0</v>
      </c>
      <c r="R166">
        <f t="shared" ca="1" si="23"/>
        <v>503</v>
      </c>
    </row>
    <row r="167" spans="1:18" x14ac:dyDescent="0.3">
      <c r="A167" t="s">
        <v>359</v>
      </c>
      <c r="B167" t="s">
        <v>360</v>
      </c>
      <c r="C167" t="s">
        <v>14</v>
      </c>
      <c r="D167" t="s">
        <v>30</v>
      </c>
      <c r="E167" s="2">
        <v>46085</v>
      </c>
      <c r="F167" s="2">
        <v>46085</v>
      </c>
      <c r="G167" s="2">
        <v>46309</v>
      </c>
      <c r="H167">
        <v>10000</v>
      </c>
      <c r="I167" t="s">
        <v>16</v>
      </c>
      <c r="J167" t="s">
        <v>35</v>
      </c>
      <c r="K167" t="s">
        <v>18</v>
      </c>
      <c r="L167">
        <v>10000</v>
      </c>
      <c r="M167" t="str">
        <f t="shared" si="16"/>
        <v>Medium</v>
      </c>
      <c r="N167">
        <f t="shared" si="17"/>
        <v>224</v>
      </c>
      <c r="O167">
        <f t="shared" si="18"/>
        <v>1</v>
      </c>
      <c r="P167">
        <f t="shared" ca="1" si="19"/>
        <v>0</v>
      </c>
      <c r="Q167">
        <f t="shared" ca="1" si="22"/>
        <v>0</v>
      </c>
      <c r="R167">
        <f t="shared" ca="1" si="23"/>
        <v>0</v>
      </c>
    </row>
    <row r="168" spans="1:18" x14ac:dyDescent="0.3">
      <c r="A168" t="s">
        <v>361</v>
      </c>
      <c r="B168" t="s">
        <v>362</v>
      </c>
      <c r="C168" t="s">
        <v>29</v>
      </c>
      <c r="D168" t="s">
        <v>45</v>
      </c>
      <c r="E168" s="2">
        <v>45942</v>
      </c>
      <c r="F168" s="2">
        <v>45942</v>
      </c>
      <c r="G168" s="2">
        <v>46278</v>
      </c>
      <c r="H168">
        <v>8000</v>
      </c>
      <c r="I168" t="s">
        <v>23</v>
      </c>
      <c r="J168" t="s">
        <v>35</v>
      </c>
      <c r="K168" t="s">
        <v>26</v>
      </c>
      <c r="L168">
        <v>8000</v>
      </c>
      <c r="M168" t="str">
        <f t="shared" si="16"/>
        <v>Low</v>
      </c>
      <c r="N168">
        <f t="shared" si="17"/>
        <v>336</v>
      </c>
      <c r="O168">
        <f t="shared" si="18"/>
        <v>0</v>
      </c>
      <c r="P168">
        <f t="shared" ca="1" si="19"/>
        <v>0</v>
      </c>
      <c r="Q168">
        <f t="shared" ca="1" si="22"/>
        <v>0</v>
      </c>
      <c r="R168">
        <f t="shared" ca="1" si="23"/>
        <v>0</v>
      </c>
    </row>
    <row r="169" spans="1:18" x14ac:dyDescent="0.3">
      <c r="A169" t="s">
        <v>363</v>
      </c>
      <c r="B169" t="s">
        <v>364</v>
      </c>
      <c r="C169" t="s">
        <v>21</v>
      </c>
      <c r="D169" t="s">
        <v>22</v>
      </c>
      <c r="E169" s="2">
        <v>46038</v>
      </c>
      <c r="F169" s="2">
        <v>46038</v>
      </c>
      <c r="G169" s="2">
        <v>46141</v>
      </c>
      <c r="H169">
        <v>12000</v>
      </c>
      <c r="I169" t="s">
        <v>16</v>
      </c>
      <c r="J169" t="s">
        <v>35</v>
      </c>
      <c r="K169" t="s">
        <v>31</v>
      </c>
      <c r="L169">
        <v>12000</v>
      </c>
      <c r="M169" t="str">
        <f t="shared" si="16"/>
        <v>Medium</v>
      </c>
      <c r="N169">
        <f t="shared" si="17"/>
        <v>103</v>
      </c>
      <c r="O169">
        <f t="shared" si="18"/>
        <v>1</v>
      </c>
      <c r="P169">
        <f t="shared" ca="1" si="19"/>
        <v>41</v>
      </c>
      <c r="Q169">
        <f t="shared" ca="1" si="22"/>
        <v>41</v>
      </c>
      <c r="R169">
        <f t="shared" ca="1" si="23"/>
        <v>0</v>
      </c>
    </row>
    <row r="170" spans="1:18" x14ac:dyDescent="0.3">
      <c r="A170" t="s">
        <v>365</v>
      </c>
      <c r="B170" t="s">
        <v>366</v>
      </c>
      <c r="C170" t="s">
        <v>29</v>
      </c>
      <c r="D170" t="s">
        <v>45</v>
      </c>
      <c r="E170" s="2">
        <v>46166</v>
      </c>
      <c r="F170" s="2">
        <v>45898</v>
      </c>
      <c r="G170" s="2">
        <v>46125</v>
      </c>
      <c r="H170">
        <v>8000</v>
      </c>
      <c r="I170" t="s">
        <v>23</v>
      </c>
      <c r="J170" t="s">
        <v>17</v>
      </c>
      <c r="K170" t="s">
        <v>31</v>
      </c>
      <c r="L170">
        <v>8000</v>
      </c>
      <c r="M170" t="str">
        <f t="shared" si="16"/>
        <v>Low</v>
      </c>
      <c r="N170">
        <f t="shared" si="17"/>
        <v>-41</v>
      </c>
      <c r="O170">
        <f t="shared" si="18"/>
        <v>0</v>
      </c>
      <c r="P170">
        <f t="shared" ca="1" si="19"/>
        <v>57</v>
      </c>
      <c r="Q170">
        <f t="shared" ca="1" si="22"/>
        <v>0</v>
      </c>
      <c r="R170">
        <f t="shared" ca="1" si="23"/>
        <v>16</v>
      </c>
    </row>
    <row r="171" spans="1:18" x14ac:dyDescent="0.3">
      <c r="A171" t="s">
        <v>367</v>
      </c>
      <c r="B171" t="s">
        <v>368</v>
      </c>
      <c r="C171" t="s">
        <v>21</v>
      </c>
      <c r="D171" t="s">
        <v>30</v>
      </c>
      <c r="E171" s="2">
        <v>46112</v>
      </c>
      <c r="F171" s="2">
        <v>46112</v>
      </c>
      <c r="G171" s="2">
        <v>46360</v>
      </c>
      <c r="H171">
        <v>15000</v>
      </c>
      <c r="I171" t="s">
        <v>16</v>
      </c>
      <c r="J171" t="s">
        <v>35</v>
      </c>
      <c r="K171" t="s">
        <v>31</v>
      </c>
      <c r="L171">
        <v>15000</v>
      </c>
      <c r="M171" t="str">
        <f t="shared" si="16"/>
        <v>High</v>
      </c>
      <c r="N171">
        <f t="shared" si="17"/>
        <v>248</v>
      </c>
      <c r="O171">
        <f t="shared" si="18"/>
        <v>1</v>
      </c>
      <c r="P171">
        <f t="shared" ca="1" si="19"/>
        <v>0</v>
      </c>
      <c r="Q171">
        <f t="shared" ca="1" si="22"/>
        <v>0</v>
      </c>
      <c r="R171">
        <f t="shared" ca="1" si="23"/>
        <v>0</v>
      </c>
    </row>
    <row r="172" spans="1:18" x14ac:dyDescent="0.3">
      <c r="A172" t="s">
        <v>369</v>
      </c>
      <c r="B172" t="s">
        <v>370</v>
      </c>
      <c r="C172" t="s">
        <v>29</v>
      </c>
      <c r="D172" t="s">
        <v>30</v>
      </c>
      <c r="E172" s="2">
        <v>45703</v>
      </c>
      <c r="F172" s="2">
        <v>45703</v>
      </c>
      <c r="G172" s="2">
        <v>45828</v>
      </c>
      <c r="H172">
        <v>18000</v>
      </c>
      <c r="I172" t="s">
        <v>16</v>
      </c>
      <c r="J172" t="s">
        <v>17</v>
      </c>
      <c r="K172" t="s">
        <v>31</v>
      </c>
      <c r="L172">
        <v>18000</v>
      </c>
      <c r="M172" t="str">
        <f t="shared" si="16"/>
        <v>High</v>
      </c>
      <c r="N172">
        <f t="shared" si="17"/>
        <v>125</v>
      </c>
      <c r="O172">
        <f t="shared" si="18"/>
        <v>1</v>
      </c>
      <c r="P172">
        <f t="shared" ca="1" si="19"/>
        <v>354</v>
      </c>
      <c r="Q172">
        <f t="shared" ca="1" si="22"/>
        <v>354</v>
      </c>
      <c r="R172">
        <f t="shared" ca="1" si="23"/>
        <v>479</v>
      </c>
    </row>
    <row r="173" spans="1:18" x14ac:dyDescent="0.3">
      <c r="A173" t="s">
        <v>371</v>
      </c>
      <c r="B173" t="s">
        <v>372</v>
      </c>
      <c r="C173" t="s">
        <v>14</v>
      </c>
      <c r="D173" t="s">
        <v>30</v>
      </c>
      <c r="E173" s="2">
        <v>45866</v>
      </c>
      <c r="F173" s="2">
        <v>45866</v>
      </c>
      <c r="G173" s="2">
        <v>46090</v>
      </c>
      <c r="H173">
        <v>12000</v>
      </c>
      <c r="I173" t="s">
        <v>23</v>
      </c>
      <c r="J173" t="s">
        <v>17</v>
      </c>
      <c r="K173" t="s">
        <v>68</v>
      </c>
      <c r="L173">
        <v>12000</v>
      </c>
      <c r="M173" t="str">
        <f t="shared" si="16"/>
        <v>Medium</v>
      </c>
      <c r="N173">
        <f t="shared" si="17"/>
        <v>224</v>
      </c>
      <c r="O173">
        <f t="shared" si="18"/>
        <v>0</v>
      </c>
      <c r="P173">
        <f t="shared" ca="1" si="19"/>
        <v>92</v>
      </c>
      <c r="Q173">
        <f t="shared" ca="1" si="22"/>
        <v>0</v>
      </c>
      <c r="R173">
        <f t="shared" ca="1" si="23"/>
        <v>316</v>
      </c>
    </row>
    <row r="174" spans="1:18" x14ac:dyDescent="0.3">
      <c r="A174" t="s">
        <v>373</v>
      </c>
      <c r="B174" t="s">
        <v>374</v>
      </c>
      <c r="C174" t="s">
        <v>29</v>
      </c>
      <c r="D174" t="s">
        <v>30</v>
      </c>
      <c r="E174" s="2">
        <v>46017</v>
      </c>
      <c r="F174" s="2">
        <v>46017</v>
      </c>
      <c r="G174" s="2">
        <v>46373</v>
      </c>
      <c r="H174">
        <v>18000</v>
      </c>
      <c r="I174" t="s">
        <v>23</v>
      </c>
      <c r="J174" t="s">
        <v>35</v>
      </c>
      <c r="K174" t="s">
        <v>68</v>
      </c>
      <c r="L174">
        <v>18000</v>
      </c>
      <c r="M174" t="str">
        <f t="shared" si="16"/>
        <v>High</v>
      </c>
      <c r="N174">
        <f t="shared" si="17"/>
        <v>356</v>
      </c>
      <c r="O174">
        <f t="shared" si="18"/>
        <v>0</v>
      </c>
      <c r="P174">
        <f t="shared" ca="1" si="19"/>
        <v>0</v>
      </c>
      <c r="Q174">
        <f t="shared" ca="1" si="22"/>
        <v>0</v>
      </c>
      <c r="R174">
        <f t="shared" ca="1" si="23"/>
        <v>0</v>
      </c>
    </row>
    <row r="175" spans="1:18" x14ac:dyDescent="0.3">
      <c r="A175" t="s">
        <v>375</v>
      </c>
      <c r="B175" t="s">
        <v>376</v>
      </c>
      <c r="C175" t="s">
        <v>14</v>
      </c>
      <c r="D175" t="s">
        <v>45</v>
      </c>
      <c r="E175" s="2">
        <v>45837</v>
      </c>
      <c r="F175" s="2">
        <v>45837</v>
      </c>
      <c r="G175" s="2">
        <v>46164</v>
      </c>
      <c r="H175">
        <v>10000</v>
      </c>
      <c r="I175" t="s">
        <v>23</v>
      </c>
      <c r="J175" t="s">
        <v>17</v>
      </c>
      <c r="K175" t="s">
        <v>18</v>
      </c>
      <c r="L175">
        <v>10000</v>
      </c>
      <c r="M175" t="str">
        <f t="shared" si="16"/>
        <v>Medium</v>
      </c>
      <c r="N175">
        <f t="shared" si="17"/>
        <v>327</v>
      </c>
      <c r="O175">
        <f t="shared" si="18"/>
        <v>0</v>
      </c>
      <c r="P175">
        <f t="shared" ca="1" si="19"/>
        <v>18</v>
      </c>
      <c r="Q175">
        <f t="shared" ca="1" si="22"/>
        <v>0</v>
      </c>
      <c r="R175">
        <f t="shared" ca="1" si="23"/>
        <v>345</v>
      </c>
    </row>
    <row r="176" spans="1:18" x14ac:dyDescent="0.3">
      <c r="A176" t="s">
        <v>377</v>
      </c>
      <c r="B176" t="s">
        <v>378</v>
      </c>
      <c r="C176" t="s">
        <v>14</v>
      </c>
      <c r="D176" t="s">
        <v>45</v>
      </c>
      <c r="E176" s="2">
        <v>45929</v>
      </c>
      <c r="F176" s="2">
        <v>45929</v>
      </c>
      <c r="G176" s="2">
        <v>46133</v>
      </c>
      <c r="H176">
        <v>10000</v>
      </c>
      <c r="I176" t="s">
        <v>23</v>
      </c>
      <c r="J176" t="s">
        <v>17</v>
      </c>
      <c r="K176" t="s">
        <v>68</v>
      </c>
      <c r="L176">
        <v>10000</v>
      </c>
      <c r="M176" t="str">
        <f t="shared" si="16"/>
        <v>Medium</v>
      </c>
      <c r="N176">
        <f t="shared" si="17"/>
        <v>204</v>
      </c>
      <c r="O176">
        <f t="shared" si="18"/>
        <v>0</v>
      </c>
      <c r="P176">
        <f t="shared" ca="1" si="19"/>
        <v>49</v>
      </c>
      <c r="Q176">
        <f t="shared" ca="1" si="22"/>
        <v>0</v>
      </c>
      <c r="R176">
        <f t="shared" ca="1" si="23"/>
        <v>253</v>
      </c>
    </row>
    <row r="177" spans="1:18" x14ac:dyDescent="0.3">
      <c r="A177" t="s">
        <v>379</v>
      </c>
      <c r="B177" t="s">
        <v>380</v>
      </c>
      <c r="C177" t="s">
        <v>14</v>
      </c>
      <c r="D177" t="s">
        <v>45</v>
      </c>
      <c r="E177" s="2">
        <v>45690</v>
      </c>
      <c r="F177" s="2">
        <v>45690</v>
      </c>
      <c r="G177" s="2">
        <v>45863</v>
      </c>
      <c r="H177">
        <v>8000</v>
      </c>
      <c r="I177" t="s">
        <v>16</v>
      </c>
      <c r="J177" t="s">
        <v>17</v>
      </c>
      <c r="K177" t="s">
        <v>31</v>
      </c>
      <c r="L177">
        <v>8000</v>
      </c>
      <c r="M177" t="str">
        <f t="shared" si="16"/>
        <v>Low</v>
      </c>
      <c r="N177">
        <f t="shared" si="17"/>
        <v>173</v>
      </c>
      <c r="O177">
        <f t="shared" si="18"/>
        <v>1</v>
      </c>
      <c r="P177">
        <f t="shared" ca="1" si="19"/>
        <v>319</v>
      </c>
      <c r="Q177">
        <f t="shared" ca="1" si="22"/>
        <v>319</v>
      </c>
      <c r="R177">
        <f t="shared" ca="1" si="23"/>
        <v>492</v>
      </c>
    </row>
    <row r="178" spans="1:18" x14ac:dyDescent="0.3">
      <c r="A178" t="s">
        <v>381</v>
      </c>
      <c r="B178" t="s">
        <v>382</v>
      </c>
      <c r="C178" t="s">
        <v>14</v>
      </c>
      <c r="D178" t="s">
        <v>30</v>
      </c>
      <c r="E178" s="2">
        <v>45787</v>
      </c>
      <c r="F178" s="2">
        <v>45787</v>
      </c>
      <c r="G178" s="2">
        <v>45954</v>
      </c>
      <c r="H178">
        <v>12000</v>
      </c>
      <c r="I178" t="s">
        <v>23</v>
      </c>
      <c r="J178" t="s">
        <v>17</v>
      </c>
      <c r="K178" t="s">
        <v>68</v>
      </c>
      <c r="L178">
        <v>12000</v>
      </c>
      <c r="M178" t="str">
        <f t="shared" si="16"/>
        <v>Medium</v>
      </c>
      <c r="N178">
        <f t="shared" si="17"/>
        <v>167</v>
      </c>
      <c r="O178">
        <f t="shared" si="18"/>
        <v>0</v>
      </c>
      <c r="P178">
        <f t="shared" ca="1" si="19"/>
        <v>228</v>
      </c>
      <c r="Q178">
        <f t="shared" ca="1" si="22"/>
        <v>0</v>
      </c>
      <c r="R178">
        <f t="shared" ca="1" si="23"/>
        <v>395</v>
      </c>
    </row>
    <row r="179" spans="1:18" x14ac:dyDescent="0.3">
      <c r="A179" t="s">
        <v>383</v>
      </c>
      <c r="B179" t="s">
        <v>384</v>
      </c>
      <c r="C179" t="s">
        <v>29</v>
      </c>
      <c r="D179" t="s">
        <v>22</v>
      </c>
      <c r="E179" s="2">
        <v>45812</v>
      </c>
      <c r="F179" s="2">
        <v>45812</v>
      </c>
      <c r="G179" s="2">
        <v>45994</v>
      </c>
      <c r="H179">
        <v>12000</v>
      </c>
      <c r="I179" t="s">
        <v>16</v>
      </c>
      <c r="J179" t="s">
        <v>17</v>
      </c>
      <c r="K179" t="s">
        <v>31</v>
      </c>
      <c r="L179">
        <v>12000</v>
      </c>
      <c r="M179" t="str">
        <f t="shared" si="16"/>
        <v>Medium</v>
      </c>
      <c r="N179">
        <f t="shared" si="17"/>
        <v>182</v>
      </c>
      <c r="O179">
        <f t="shared" si="18"/>
        <v>1</v>
      </c>
      <c r="P179">
        <f t="shared" ca="1" si="19"/>
        <v>188</v>
      </c>
      <c r="Q179">
        <f t="shared" ca="1" si="22"/>
        <v>188</v>
      </c>
      <c r="R179">
        <f t="shared" ca="1" si="23"/>
        <v>370</v>
      </c>
    </row>
    <row r="180" spans="1:18" x14ac:dyDescent="0.3">
      <c r="A180" t="s">
        <v>385</v>
      </c>
      <c r="B180" t="s">
        <v>386</v>
      </c>
      <c r="C180" t="s">
        <v>21</v>
      </c>
      <c r="D180" t="s">
        <v>45</v>
      </c>
      <c r="E180" s="2">
        <v>46017</v>
      </c>
      <c r="F180" s="2">
        <v>46017</v>
      </c>
      <c r="G180" s="2">
        <v>46168</v>
      </c>
      <c r="H180">
        <v>10000</v>
      </c>
      <c r="I180" t="s">
        <v>16</v>
      </c>
      <c r="J180" t="s">
        <v>35</v>
      </c>
      <c r="K180" t="s">
        <v>26</v>
      </c>
      <c r="L180">
        <v>10000</v>
      </c>
      <c r="M180" t="str">
        <f t="shared" si="16"/>
        <v>Medium</v>
      </c>
      <c r="N180">
        <f t="shared" si="17"/>
        <v>151</v>
      </c>
      <c r="O180">
        <f t="shared" si="18"/>
        <v>1</v>
      </c>
      <c r="P180">
        <f t="shared" ca="1" si="19"/>
        <v>14</v>
      </c>
      <c r="Q180">
        <f t="shared" ca="1" si="22"/>
        <v>14</v>
      </c>
      <c r="R180">
        <f t="shared" ca="1" si="23"/>
        <v>0</v>
      </c>
    </row>
    <row r="181" spans="1:18" x14ac:dyDescent="0.3">
      <c r="A181" t="s">
        <v>387</v>
      </c>
      <c r="B181" t="s">
        <v>388</v>
      </c>
      <c r="C181" t="s">
        <v>38</v>
      </c>
      <c r="D181" t="s">
        <v>30</v>
      </c>
      <c r="E181" s="2">
        <v>45784</v>
      </c>
      <c r="F181" s="2">
        <v>45784</v>
      </c>
      <c r="G181" s="2">
        <v>46135</v>
      </c>
      <c r="H181">
        <v>15000</v>
      </c>
      <c r="I181" t="s">
        <v>23</v>
      </c>
      <c r="J181" t="s">
        <v>17</v>
      </c>
      <c r="K181" t="s">
        <v>31</v>
      </c>
      <c r="L181">
        <v>15000</v>
      </c>
      <c r="M181" t="str">
        <f t="shared" si="16"/>
        <v>High</v>
      </c>
      <c r="N181">
        <f t="shared" si="17"/>
        <v>351</v>
      </c>
      <c r="O181">
        <f t="shared" si="18"/>
        <v>0</v>
      </c>
      <c r="P181">
        <f t="shared" ca="1" si="19"/>
        <v>47</v>
      </c>
      <c r="Q181">
        <f t="shared" ca="1" si="22"/>
        <v>0</v>
      </c>
      <c r="R181">
        <f t="shared" ca="1" si="23"/>
        <v>398</v>
      </c>
    </row>
    <row r="182" spans="1:18" x14ac:dyDescent="0.3">
      <c r="A182" t="s">
        <v>389</v>
      </c>
      <c r="B182" t="s">
        <v>390</v>
      </c>
      <c r="C182" t="s">
        <v>21</v>
      </c>
      <c r="D182" t="s">
        <v>30</v>
      </c>
      <c r="E182" s="2">
        <v>45746</v>
      </c>
      <c r="F182" s="2">
        <v>45746</v>
      </c>
      <c r="G182" s="2">
        <v>45955</v>
      </c>
      <c r="H182">
        <v>10000</v>
      </c>
      <c r="I182" t="s">
        <v>16</v>
      </c>
      <c r="J182" t="s">
        <v>35</v>
      </c>
      <c r="K182" t="s">
        <v>26</v>
      </c>
      <c r="L182">
        <v>10000</v>
      </c>
      <c r="M182" t="str">
        <f t="shared" si="16"/>
        <v>Medium</v>
      </c>
      <c r="N182">
        <f t="shared" si="17"/>
        <v>209</v>
      </c>
      <c r="O182">
        <f t="shared" si="18"/>
        <v>1</v>
      </c>
      <c r="P182">
        <f t="shared" ca="1" si="19"/>
        <v>227</v>
      </c>
      <c r="Q182">
        <f t="shared" ca="1" si="22"/>
        <v>227</v>
      </c>
      <c r="R182">
        <f t="shared" ca="1" si="23"/>
        <v>0</v>
      </c>
    </row>
    <row r="183" spans="1:18" x14ac:dyDescent="0.3">
      <c r="A183" t="s">
        <v>391</v>
      </c>
      <c r="B183" t="s">
        <v>392</v>
      </c>
      <c r="C183" t="s">
        <v>21</v>
      </c>
      <c r="D183" t="s">
        <v>30</v>
      </c>
      <c r="E183" s="2">
        <v>45858</v>
      </c>
      <c r="F183" s="2">
        <v>45858</v>
      </c>
      <c r="G183" s="2">
        <v>46145</v>
      </c>
      <c r="H183">
        <v>12000</v>
      </c>
      <c r="I183" t="s">
        <v>16</v>
      </c>
      <c r="J183" t="s">
        <v>17</v>
      </c>
      <c r="K183" t="s">
        <v>31</v>
      </c>
      <c r="L183">
        <v>12000</v>
      </c>
      <c r="M183" t="str">
        <f t="shared" si="16"/>
        <v>Medium</v>
      </c>
      <c r="N183">
        <f t="shared" si="17"/>
        <v>287</v>
      </c>
      <c r="O183">
        <f t="shared" si="18"/>
        <v>1</v>
      </c>
      <c r="P183">
        <f t="shared" ca="1" si="19"/>
        <v>37</v>
      </c>
      <c r="Q183">
        <f t="shared" ca="1" si="22"/>
        <v>37</v>
      </c>
      <c r="R183">
        <f t="shared" ca="1" si="23"/>
        <v>324</v>
      </c>
    </row>
    <row r="184" spans="1:18" x14ac:dyDescent="0.3">
      <c r="A184" t="s">
        <v>393</v>
      </c>
      <c r="B184" t="s">
        <v>394</v>
      </c>
      <c r="C184" t="s">
        <v>38</v>
      </c>
      <c r="D184" t="s">
        <v>30</v>
      </c>
      <c r="E184" s="2">
        <v>46045</v>
      </c>
      <c r="F184" s="2">
        <v>46045</v>
      </c>
      <c r="G184" s="2">
        <v>46239</v>
      </c>
      <c r="H184">
        <v>12199</v>
      </c>
      <c r="I184" t="s">
        <v>16</v>
      </c>
      <c r="J184" t="s">
        <v>17</v>
      </c>
      <c r="K184" t="s">
        <v>31</v>
      </c>
      <c r="L184">
        <v>12199</v>
      </c>
      <c r="M184" t="str">
        <f t="shared" si="16"/>
        <v>Medium</v>
      </c>
      <c r="N184">
        <f t="shared" si="17"/>
        <v>194</v>
      </c>
      <c r="O184">
        <f t="shared" si="18"/>
        <v>1</v>
      </c>
      <c r="P184">
        <f t="shared" ca="1" si="19"/>
        <v>0</v>
      </c>
      <c r="Q184">
        <f t="shared" ca="1" si="22"/>
        <v>0</v>
      </c>
      <c r="R184">
        <f t="shared" ca="1" si="23"/>
        <v>137</v>
      </c>
    </row>
    <row r="185" spans="1:18" x14ac:dyDescent="0.3">
      <c r="A185" t="s">
        <v>395</v>
      </c>
      <c r="B185" t="s">
        <v>396</v>
      </c>
      <c r="C185" t="s">
        <v>21</v>
      </c>
      <c r="D185" t="s">
        <v>30</v>
      </c>
      <c r="E185" s="2">
        <v>45767</v>
      </c>
      <c r="F185" s="2">
        <v>45767</v>
      </c>
      <c r="G185" s="2">
        <v>45967</v>
      </c>
      <c r="H185">
        <v>8000</v>
      </c>
      <c r="I185" t="s">
        <v>16</v>
      </c>
      <c r="J185" t="s">
        <v>35</v>
      </c>
      <c r="K185" t="s">
        <v>26</v>
      </c>
      <c r="L185">
        <v>8000</v>
      </c>
      <c r="M185" t="str">
        <f t="shared" si="16"/>
        <v>Low</v>
      </c>
      <c r="N185">
        <f t="shared" si="17"/>
        <v>200</v>
      </c>
      <c r="O185">
        <f t="shared" si="18"/>
        <v>1</v>
      </c>
      <c r="P185">
        <f t="shared" ca="1" si="19"/>
        <v>215</v>
      </c>
      <c r="Q185">
        <f t="shared" ca="1" si="22"/>
        <v>215</v>
      </c>
      <c r="R185">
        <f t="shared" ca="1" si="23"/>
        <v>0</v>
      </c>
    </row>
    <row r="186" spans="1:18" x14ac:dyDescent="0.3">
      <c r="A186" t="s">
        <v>397</v>
      </c>
      <c r="B186" t="s">
        <v>398</v>
      </c>
      <c r="C186" t="s">
        <v>29</v>
      </c>
      <c r="D186" t="s">
        <v>30</v>
      </c>
      <c r="E186" s="2">
        <v>45933</v>
      </c>
      <c r="F186" s="2">
        <v>45933</v>
      </c>
      <c r="G186" s="2">
        <v>46172</v>
      </c>
      <c r="H186">
        <v>8000</v>
      </c>
      <c r="I186" t="s">
        <v>16</v>
      </c>
      <c r="J186" t="s">
        <v>17</v>
      </c>
      <c r="K186" t="s">
        <v>68</v>
      </c>
      <c r="L186">
        <v>8000</v>
      </c>
      <c r="M186" t="str">
        <f t="shared" si="16"/>
        <v>Low</v>
      </c>
      <c r="N186">
        <f t="shared" si="17"/>
        <v>239</v>
      </c>
      <c r="O186">
        <f t="shared" si="18"/>
        <v>1</v>
      </c>
      <c r="P186">
        <f t="shared" ca="1" si="19"/>
        <v>10</v>
      </c>
      <c r="Q186">
        <f t="shared" ca="1" si="22"/>
        <v>10</v>
      </c>
      <c r="R186">
        <f t="shared" ca="1" si="23"/>
        <v>249</v>
      </c>
    </row>
    <row r="187" spans="1:18" x14ac:dyDescent="0.3">
      <c r="A187" t="s">
        <v>399</v>
      </c>
      <c r="B187" t="s">
        <v>400</v>
      </c>
      <c r="C187" t="s">
        <v>29</v>
      </c>
      <c r="D187" t="s">
        <v>30</v>
      </c>
      <c r="E187" s="2">
        <v>46156</v>
      </c>
      <c r="F187" s="2">
        <v>45830</v>
      </c>
      <c r="G187" s="2">
        <v>46148</v>
      </c>
      <c r="H187">
        <v>18000</v>
      </c>
      <c r="I187" t="s">
        <v>23</v>
      </c>
      <c r="J187" t="s">
        <v>17</v>
      </c>
      <c r="K187" t="s">
        <v>26</v>
      </c>
      <c r="L187">
        <v>18000</v>
      </c>
      <c r="M187" t="str">
        <f t="shared" si="16"/>
        <v>High</v>
      </c>
      <c r="N187">
        <f t="shared" si="17"/>
        <v>-8</v>
      </c>
      <c r="O187">
        <f t="shared" si="18"/>
        <v>0</v>
      </c>
      <c r="P187">
        <f t="shared" ca="1" si="19"/>
        <v>34</v>
      </c>
      <c r="Q187">
        <f t="shared" ca="1" si="22"/>
        <v>0</v>
      </c>
      <c r="R187">
        <f t="shared" ca="1" si="23"/>
        <v>26</v>
      </c>
    </row>
    <row r="188" spans="1:18" x14ac:dyDescent="0.3">
      <c r="A188" t="s">
        <v>401</v>
      </c>
      <c r="B188" t="s">
        <v>402</v>
      </c>
      <c r="C188" t="s">
        <v>21</v>
      </c>
      <c r="D188" t="s">
        <v>45</v>
      </c>
      <c r="E188" s="2">
        <v>46077</v>
      </c>
      <c r="F188" s="2">
        <v>46077</v>
      </c>
      <c r="G188" s="2">
        <v>46193</v>
      </c>
      <c r="H188">
        <v>12000</v>
      </c>
      <c r="I188" t="s">
        <v>16</v>
      </c>
      <c r="J188" t="s">
        <v>35</v>
      </c>
      <c r="K188" t="s">
        <v>26</v>
      </c>
      <c r="L188">
        <v>12000</v>
      </c>
      <c r="M188" t="str">
        <f t="shared" si="16"/>
        <v>Medium</v>
      </c>
      <c r="N188">
        <f t="shared" si="17"/>
        <v>116</v>
      </c>
      <c r="O188">
        <f t="shared" si="18"/>
        <v>1</v>
      </c>
      <c r="P188">
        <f t="shared" ca="1" si="19"/>
        <v>0</v>
      </c>
      <c r="Q188">
        <f t="shared" ca="1" si="22"/>
        <v>0</v>
      </c>
      <c r="R188">
        <f t="shared" ca="1" si="23"/>
        <v>0</v>
      </c>
    </row>
    <row r="189" spans="1:18" x14ac:dyDescent="0.3">
      <c r="A189" t="s">
        <v>403</v>
      </c>
      <c r="B189" t="s">
        <v>404</v>
      </c>
      <c r="C189" t="s">
        <v>21</v>
      </c>
      <c r="D189" t="s">
        <v>22</v>
      </c>
      <c r="E189" s="2">
        <v>46073</v>
      </c>
      <c r="F189" s="2">
        <v>46073</v>
      </c>
      <c r="G189" s="2">
        <v>46174</v>
      </c>
      <c r="H189">
        <v>12000</v>
      </c>
      <c r="I189" t="s">
        <v>16</v>
      </c>
      <c r="J189" t="s">
        <v>35</v>
      </c>
      <c r="K189" t="s">
        <v>31</v>
      </c>
      <c r="L189">
        <v>12000</v>
      </c>
      <c r="M189" t="str">
        <f t="shared" si="16"/>
        <v>Medium</v>
      </c>
      <c r="N189">
        <f t="shared" si="17"/>
        <v>101</v>
      </c>
      <c r="O189">
        <f t="shared" si="18"/>
        <v>1</v>
      </c>
      <c r="P189">
        <f t="shared" ca="1" si="19"/>
        <v>8</v>
      </c>
      <c r="Q189">
        <f t="shared" ca="1" si="22"/>
        <v>8</v>
      </c>
      <c r="R189">
        <f t="shared" ca="1" si="23"/>
        <v>0</v>
      </c>
    </row>
    <row r="190" spans="1:18" x14ac:dyDescent="0.3">
      <c r="A190" t="s">
        <v>405</v>
      </c>
      <c r="B190" t="s">
        <v>406</v>
      </c>
      <c r="C190" t="s">
        <v>21</v>
      </c>
      <c r="D190" t="s">
        <v>45</v>
      </c>
      <c r="E190" s="2">
        <v>45780</v>
      </c>
      <c r="F190" s="2">
        <v>45780</v>
      </c>
      <c r="G190" s="2">
        <v>46038</v>
      </c>
      <c r="H190">
        <v>12000</v>
      </c>
      <c r="I190" t="s">
        <v>23</v>
      </c>
      <c r="J190" t="s">
        <v>35</v>
      </c>
      <c r="K190" t="s">
        <v>18</v>
      </c>
      <c r="L190">
        <v>12000</v>
      </c>
      <c r="M190" t="str">
        <f t="shared" si="16"/>
        <v>Medium</v>
      </c>
      <c r="N190">
        <f t="shared" si="17"/>
        <v>258</v>
      </c>
      <c r="O190">
        <f t="shared" si="18"/>
        <v>0</v>
      </c>
      <c r="P190">
        <f t="shared" ca="1" si="19"/>
        <v>144</v>
      </c>
      <c r="Q190">
        <f t="shared" ca="1" si="22"/>
        <v>0</v>
      </c>
      <c r="R190">
        <f t="shared" ca="1" si="23"/>
        <v>0</v>
      </c>
    </row>
    <row r="191" spans="1:18" x14ac:dyDescent="0.3">
      <c r="A191" t="s">
        <v>407</v>
      </c>
      <c r="B191" t="s">
        <v>408</v>
      </c>
      <c r="C191" t="s">
        <v>14</v>
      </c>
      <c r="D191" t="s">
        <v>30</v>
      </c>
      <c r="E191" s="2">
        <v>45800</v>
      </c>
      <c r="F191" s="2">
        <v>45800</v>
      </c>
      <c r="G191" s="2">
        <v>46107</v>
      </c>
      <c r="H191">
        <v>18000</v>
      </c>
      <c r="I191" t="s">
        <v>23</v>
      </c>
      <c r="J191" t="s">
        <v>35</v>
      </c>
      <c r="K191" t="s">
        <v>68</v>
      </c>
      <c r="L191">
        <v>18000</v>
      </c>
      <c r="M191" t="str">
        <f t="shared" si="16"/>
        <v>High</v>
      </c>
      <c r="N191">
        <f t="shared" si="17"/>
        <v>307</v>
      </c>
      <c r="O191">
        <f t="shared" si="18"/>
        <v>0</v>
      </c>
      <c r="P191">
        <f t="shared" ca="1" si="19"/>
        <v>75</v>
      </c>
      <c r="Q191">
        <f t="shared" ca="1" si="22"/>
        <v>0</v>
      </c>
      <c r="R191">
        <f t="shared" ca="1" si="23"/>
        <v>0</v>
      </c>
    </row>
    <row r="192" spans="1:18" x14ac:dyDescent="0.3">
      <c r="A192" t="s">
        <v>409</v>
      </c>
      <c r="B192" t="s">
        <v>410</v>
      </c>
      <c r="C192" t="s">
        <v>21</v>
      </c>
      <c r="D192" t="s">
        <v>30</v>
      </c>
      <c r="E192" s="2">
        <v>45713</v>
      </c>
      <c r="F192" s="2">
        <v>45713</v>
      </c>
      <c r="G192" s="2">
        <v>46053</v>
      </c>
      <c r="H192">
        <v>10000</v>
      </c>
      <c r="I192" t="s">
        <v>23</v>
      </c>
      <c r="J192" t="s">
        <v>35</v>
      </c>
      <c r="K192" t="s">
        <v>18</v>
      </c>
      <c r="L192">
        <v>10000</v>
      </c>
      <c r="M192" t="str">
        <f t="shared" si="16"/>
        <v>Medium</v>
      </c>
      <c r="N192">
        <f t="shared" si="17"/>
        <v>340</v>
      </c>
      <c r="O192">
        <f t="shared" si="18"/>
        <v>0</v>
      </c>
      <c r="P192">
        <f t="shared" ca="1" si="19"/>
        <v>129</v>
      </c>
      <c r="Q192">
        <f t="shared" ca="1" si="22"/>
        <v>0</v>
      </c>
      <c r="R192">
        <f t="shared" ca="1" si="23"/>
        <v>0</v>
      </c>
    </row>
    <row r="193" spans="1:18" x14ac:dyDescent="0.3">
      <c r="A193" t="s">
        <v>411</v>
      </c>
      <c r="B193" t="s">
        <v>412</v>
      </c>
      <c r="C193" t="s">
        <v>29</v>
      </c>
      <c r="D193" t="s">
        <v>30</v>
      </c>
      <c r="E193" s="2">
        <v>46125</v>
      </c>
      <c r="F193" s="2">
        <v>46125</v>
      </c>
      <c r="G193" s="2">
        <v>46378</v>
      </c>
      <c r="H193">
        <v>15000</v>
      </c>
      <c r="I193" t="s">
        <v>16</v>
      </c>
      <c r="J193" t="s">
        <v>17</v>
      </c>
      <c r="K193" t="s">
        <v>26</v>
      </c>
      <c r="L193">
        <v>15000</v>
      </c>
      <c r="M193" t="str">
        <f t="shared" si="16"/>
        <v>High</v>
      </c>
      <c r="N193">
        <f t="shared" si="17"/>
        <v>253</v>
      </c>
      <c r="O193">
        <f t="shared" si="18"/>
        <v>1</v>
      </c>
      <c r="P193">
        <f t="shared" ca="1" si="19"/>
        <v>0</v>
      </c>
      <c r="Q193">
        <f t="shared" ca="1" si="22"/>
        <v>0</v>
      </c>
      <c r="R193">
        <f t="shared" ca="1" si="23"/>
        <v>57</v>
      </c>
    </row>
    <row r="194" spans="1:18" x14ac:dyDescent="0.3">
      <c r="A194" t="s">
        <v>413</v>
      </c>
      <c r="B194" t="s">
        <v>414</v>
      </c>
      <c r="C194" t="s">
        <v>29</v>
      </c>
      <c r="D194" t="s">
        <v>30</v>
      </c>
      <c r="E194" s="2">
        <v>46015</v>
      </c>
      <c r="F194" s="2">
        <v>46015</v>
      </c>
      <c r="G194" s="2">
        <v>46194</v>
      </c>
      <c r="H194">
        <v>10000</v>
      </c>
      <c r="I194" t="s">
        <v>23</v>
      </c>
      <c r="J194" t="s">
        <v>35</v>
      </c>
      <c r="K194" t="s">
        <v>68</v>
      </c>
      <c r="L194">
        <v>10000</v>
      </c>
      <c r="M194" t="str">
        <f t="shared" ref="M194:M201" si="24">IF(H194&gt;=15000,"High",IF(H194&gt;=10000,"Medium","Low"))</f>
        <v>Medium</v>
      </c>
      <c r="N194">
        <f t="shared" ref="N194:N201" si="25">G194-E194</f>
        <v>179</v>
      </c>
      <c r="O194">
        <f t="shared" ref="O194:O201" si="26">IF(I194="Occupied",1,0)</f>
        <v>0</v>
      </c>
      <c r="P194">
        <f t="shared" ref="P194:P201" ca="1" si="27">IF(G194&lt;TODAY(),TODAY()-G194,0)</f>
        <v>0</v>
      </c>
      <c r="Q194">
        <f t="shared" ref="Q194:Q201" ca="1" si="28">IF(AND(G194&lt;TODAY(),I194="Occupied"),TODAY()-G194,0)</f>
        <v>0</v>
      </c>
      <c r="R194">
        <f t="shared" ref="R194:R201" ca="1" si="29">IF(AND(J194="Pending",E194&lt;TODAY()),TODAY()-E194,0)</f>
        <v>0</v>
      </c>
    </row>
    <row r="195" spans="1:18" x14ac:dyDescent="0.3">
      <c r="A195" t="s">
        <v>415</v>
      </c>
      <c r="B195" t="s">
        <v>416</v>
      </c>
      <c r="C195" t="s">
        <v>29</v>
      </c>
      <c r="D195" t="s">
        <v>30</v>
      </c>
      <c r="E195" s="2">
        <v>45935</v>
      </c>
      <c r="F195" s="2">
        <v>45935</v>
      </c>
      <c r="G195" s="2">
        <v>46160</v>
      </c>
      <c r="H195">
        <v>10000</v>
      </c>
      <c r="I195" t="s">
        <v>16</v>
      </c>
      <c r="J195" t="s">
        <v>35</v>
      </c>
      <c r="K195" t="s">
        <v>31</v>
      </c>
      <c r="L195">
        <v>10000</v>
      </c>
      <c r="M195" t="str">
        <f t="shared" si="24"/>
        <v>Medium</v>
      </c>
      <c r="N195">
        <f t="shared" si="25"/>
        <v>225</v>
      </c>
      <c r="O195">
        <f t="shared" si="26"/>
        <v>1</v>
      </c>
      <c r="P195">
        <f t="shared" ca="1" si="27"/>
        <v>22</v>
      </c>
      <c r="Q195">
        <f t="shared" ca="1" si="28"/>
        <v>22</v>
      </c>
      <c r="R195">
        <f t="shared" ca="1" si="29"/>
        <v>0</v>
      </c>
    </row>
    <row r="196" spans="1:18" x14ac:dyDescent="0.3">
      <c r="A196" t="s">
        <v>417</v>
      </c>
      <c r="B196" t="s">
        <v>418</v>
      </c>
      <c r="C196" t="s">
        <v>29</v>
      </c>
      <c r="D196" t="s">
        <v>30</v>
      </c>
      <c r="E196" s="2">
        <v>45882</v>
      </c>
      <c r="F196" s="2">
        <v>45882</v>
      </c>
      <c r="G196" s="2">
        <v>46072</v>
      </c>
      <c r="H196">
        <v>12000</v>
      </c>
      <c r="I196" t="s">
        <v>16</v>
      </c>
      <c r="J196" t="s">
        <v>35</v>
      </c>
      <c r="K196" t="s">
        <v>18</v>
      </c>
      <c r="L196">
        <v>12000</v>
      </c>
      <c r="M196" t="str">
        <f t="shared" si="24"/>
        <v>Medium</v>
      </c>
      <c r="N196">
        <f t="shared" si="25"/>
        <v>190</v>
      </c>
      <c r="O196">
        <f t="shared" si="26"/>
        <v>1</v>
      </c>
      <c r="P196">
        <f t="shared" ca="1" si="27"/>
        <v>110</v>
      </c>
      <c r="Q196">
        <f t="shared" ca="1" si="28"/>
        <v>110</v>
      </c>
      <c r="R196">
        <f t="shared" ca="1" si="29"/>
        <v>0</v>
      </c>
    </row>
    <row r="197" spans="1:18" x14ac:dyDescent="0.3">
      <c r="A197" t="s">
        <v>419</v>
      </c>
      <c r="B197" t="s">
        <v>420</v>
      </c>
      <c r="C197" t="s">
        <v>21</v>
      </c>
      <c r="D197" t="s">
        <v>30</v>
      </c>
      <c r="E197" s="2">
        <v>45955</v>
      </c>
      <c r="F197" s="2">
        <v>45955</v>
      </c>
      <c r="G197" s="2">
        <v>46129</v>
      </c>
      <c r="H197">
        <v>8000</v>
      </c>
      <c r="I197" t="s">
        <v>16</v>
      </c>
      <c r="J197" t="s">
        <v>17</v>
      </c>
      <c r="K197" t="s">
        <v>18</v>
      </c>
      <c r="L197">
        <v>8000</v>
      </c>
      <c r="M197" t="str">
        <f t="shared" si="24"/>
        <v>Low</v>
      </c>
      <c r="N197">
        <f t="shared" si="25"/>
        <v>174</v>
      </c>
      <c r="O197">
        <f t="shared" si="26"/>
        <v>1</v>
      </c>
      <c r="P197">
        <f t="shared" ca="1" si="27"/>
        <v>53</v>
      </c>
      <c r="Q197">
        <f t="shared" ca="1" si="28"/>
        <v>53</v>
      </c>
      <c r="R197">
        <f t="shared" ca="1" si="29"/>
        <v>227</v>
      </c>
    </row>
    <row r="198" spans="1:18" x14ac:dyDescent="0.3">
      <c r="A198" t="s">
        <v>421</v>
      </c>
      <c r="B198" t="s">
        <v>422</v>
      </c>
      <c r="C198" t="s">
        <v>29</v>
      </c>
      <c r="D198" t="s">
        <v>45</v>
      </c>
      <c r="E198" s="2">
        <v>46159</v>
      </c>
      <c r="F198" s="2">
        <v>46159</v>
      </c>
      <c r="G198" s="2">
        <v>46498</v>
      </c>
      <c r="H198">
        <v>12000</v>
      </c>
      <c r="I198" t="s">
        <v>16</v>
      </c>
      <c r="J198" t="s">
        <v>35</v>
      </c>
      <c r="K198" t="s">
        <v>18</v>
      </c>
      <c r="L198">
        <v>12000</v>
      </c>
      <c r="M198" t="str">
        <f t="shared" si="24"/>
        <v>Medium</v>
      </c>
      <c r="N198">
        <f t="shared" si="25"/>
        <v>339</v>
      </c>
      <c r="O198">
        <f t="shared" si="26"/>
        <v>1</v>
      </c>
      <c r="P198">
        <f t="shared" ca="1" si="27"/>
        <v>0</v>
      </c>
      <c r="Q198">
        <f t="shared" ca="1" si="28"/>
        <v>0</v>
      </c>
      <c r="R198">
        <f t="shared" ca="1" si="29"/>
        <v>0</v>
      </c>
    </row>
    <row r="199" spans="1:18" x14ac:dyDescent="0.3">
      <c r="A199" t="s">
        <v>423</v>
      </c>
      <c r="B199" t="s">
        <v>424</v>
      </c>
      <c r="C199" t="s">
        <v>14</v>
      </c>
      <c r="D199" t="s">
        <v>45</v>
      </c>
      <c r="E199" s="2">
        <v>45952</v>
      </c>
      <c r="F199" s="2">
        <v>45952</v>
      </c>
      <c r="G199" s="2">
        <v>46102</v>
      </c>
      <c r="H199">
        <v>8000</v>
      </c>
      <c r="I199" t="s">
        <v>23</v>
      </c>
      <c r="J199" t="s">
        <v>35</v>
      </c>
      <c r="K199" t="s">
        <v>68</v>
      </c>
      <c r="L199">
        <v>8000</v>
      </c>
      <c r="M199" t="str">
        <f t="shared" si="24"/>
        <v>Low</v>
      </c>
      <c r="N199">
        <f t="shared" si="25"/>
        <v>150</v>
      </c>
      <c r="O199">
        <f t="shared" si="26"/>
        <v>0</v>
      </c>
      <c r="P199">
        <f t="shared" ca="1" si="27"/>
        <v>80</v>
      </c>
      <c r="Q199">
        <f t="shared" ca="1" si="28"/>
        <v>0</v>
      </c>
      <c r="R199">
        <f t="shared" ca="1" si="29"/>
        <v>0</v>
      </c>
    </row>
    <row r="200" spans="1:18" x14ac:dyDescent="0.3">
      <c r="A200" t="s">
        <v>425</v>
      </c>
      <c r="B200" t="s">
        <v>426</v>
      </c>
      <c r="C200" t="s">
        <v>14</v>
      </c>
      <c r="D200" t="s">
        <v>30</v>
      </c>
      <c r="E200" s="2">
        <v>45859</v>
      </c>
      <c r="F200" s="2">
        <v>45859</v>
      </c>
      <c r="G200" s="2">
        <v>46124</v>
      </c>
      <c r="H200">
        <v>18000</v>
      </c>
      <c r="I200" t="s">
        <v>16</v>
      </c>
      <c r="J200" t="s">
        <v>35</v>
      </c>
      <c r="K200" t="s">
        <v>68</v>
      </c>
      <c r="L200">
        <v>18000</v>
      </c>
      <c r="M200" t="str">
        <f t="shared" si="24"/>
        <v>High</v>
      </c>
      <c r="N200">
        <f t="shared" si="25"/>
        <v>265</v>
      </c>
      <c r="O200">
        <f t="shared" si="26"/>
        <v>1</v>
      </c>
      <c r="P200">
        <f t="shared" ca="1" si="27"/>
        <v>58</v>
      </c>
      <c r="Q200">
        <f t="shared" ca="1" si="28"/>
        <v>58</v>
      </c>
      <c r="R200">
        <f t="shared" ca="1" si="29"/>
        <v>0</v>
      </c>
    </row>
    <row r="201" spans="1:18" x14ac:dyDescent="0.3">
      <c r="A201" t="s">
        <v>427</v>
      </c>
      <c r="B201" t="s">
        <v>428</v>
      </c>
      <c r="C201" t="s">
        <v>14</v>
      </c>
      <c r="D201" t="s">
        <v>30</v>
      </c>
      <c r="E201" s="2">
        <v>46155</v>
      </c>
      <c r="F201" s="2">
        <v>46155</v>
      </c>
      <c r="G201" s="2">
        <v>46326</v>
      </c>
      <c r="H201">
        <v>12000</v>
      </c>
      <c r="I201" t="s">
        <v>16</v>
      </c>
      <c r="J201" t="s">
        <v>35</v>
      </c>
      <c r="K201" t="s">
        <v>18</v>
      </c>
      <c r="L201">
        <v>12000</v>
      </c>
      <c r="M201" t="str">
        <f t="shared" si="24"/>
        <v>Medium</v>
      </c>
      <c r="N201">
        <f t="shared" si="25"/>
        <v>171</v>
      </c>
      <c r="O201">
        <f t="shared" si="26"/>
        <v>1</v>
      </c>
      <c r="P201">
        <f t="shared" ca="1" si="27"/>
        <v>0</v>
      </c>
      <c r="Q201">
        <f t="shared" ca="1" si="28"/>
        <v>0</v>
      </c>
      <c r="R201">
        <f t="shared" ca="1" si="29"/>
        <v>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8D8C-4160-4F0B-961F-B9A9E902E9B3}">
  <dimension ref="A1:P201"/>
  <sheetViews>
    <sheetView topLeftCell="C1" workbookViewId="0">
      <selection activeCell="M155" sqref="M155"/>
    </sheetView>
  </sheetViews>
  <sheetFormatPr defaultRowHeight="14.4" x14ac:dyDescent="0.3"/>
  <cols>
    <col min="5" max="5" width="18.6640625" customWidth="1"/>
    <col min="6" max="6" width="14.6640625" customWidth="1"/>
    <col min="7" max="7" width="13" customWidth="1"/>
    <col min="8" max="8" width="15.44140625" customWidth="1"/>
    <col min="9" max="9" width="16" customWidth="1"/>
    <col min="10" max="10" width="14" customWidth="1"/>
    <col min="13" max="13" width="15.21875" customWidth="1"/>
    <col min="14" max="14" width="13.33203125" customWidth="1"/>
    <col min="15" max="15" width="13.6640625" customWidth="1"/>
    <col min="16" max="16" width="12.77734375" customWidth="1"/>
  </cols>
  <sheetData>
    <row r="1" spans="1:16" ht="15" thickBot="1" x14ac:dyDescent="0.35">
      <c r="A1" s="8" t="s">
        <v>0</v>
      </c>
      <c r="B1" s="9" t="s">
        <v>1</v>
      </c>
      <c r="C1" s="9" t="s">
        <v>2</v>
      </c>
      <c r="D1" s="9" t="s">
        <v>3</v>
      </c>
      <c r="E1" s="9" t="s">
        <v>4</v>
      </c>
      <c r="F1" s="9" t="s">
        <v>5</v>
      </c>
      <c r="G1" s="9" t="s">
        <v>6</v>
      </c>
      <c r="H1" s="9" t="s">
        <v>7</v>
      </c>
      <c r="I1" s="9" t="s">
        <v>8</v>
      </c>
      <c r="J1" s="9" t="s">
        <v>9</v>
      </c>
      <c r="K1" s="9" t="s">
        <v>10</v>
      </c>
      <c r="L1" s="9" t="s">
        <v>11</v>
      </c>
      <c r="M1" s="9" t="s">
        <v>436</v>
      </c>
      <c r="N1" s="9" t="s">
        <v>437</v>
      </c>
      <c r="O1" s="9" t="s">
        <v>438</v>
      </c>
      <c r="P1" s="9" t="s">
        <v>439</v>
      </c>
    </row>
    <row r="2" spans="1:16" ht="15" thickTop="1" x14ac:dyDescent="0.3">
      <c r="A2" s="10" t="s">
        <v>12</v>
      </c>
      <c r="B2" s="11" t="s">
        <v>13</v>
      </c>
      <c r="C2" s="11" t="s">
        <v>14</v>
      </c>
      <c r="D2" s="11" t="s">
        <v>30</v>
      </c>
      <c r="E2" s="12">
        <v>46131</v>
      </c>
      <c r="F2" s="12">
        <v>46131</v>
      </c>
      <c r="G2" s="12">
        <v>46339</v>
      </c>
      <c r="H2" s="11">
        <v>10000</v>
      </c>
      <c r="I2" s="11" t="s">
        <v>16</v>
      </c>
      <c r="J2" s="11" t="s">
        <v>17</v>
      </c>
      <c r="K2" s="11" t="s">
        <v>18</v>
      </c>
      <c r="L2" s="11">
        <v>10000</v>
      </c>
      <c r="M2" s="11" t="str">
        <f t="shared" ref="M2:M33" si="0">IF(H2&gt;=15000,"High",IF(H2&gt;=10000,"Medium","Low"))</f>
        <v>Medium</v>
      </c>
      <c r="N2" s="11">
        <f t="shared" ref="N2:N33" si="1">G2-E2</f>
        <v>208</v>
      </c>
      <c r="O2" s="11">
        <f t="shared" ref="O2:O33" si="2">IF(I2="Occupied",1,0)</f>
        <v>1</v>
      </c>
      <c r="P2" s="11">
        <f t="shared" ref="P2:P33" ca="1" si="3">IF(G2&lt;TODAY(),TODAY()-G2,0)</f>
        <v>0</v>
      </c>
    </row>
    <row r="3" spans="1:16" x14ac:dyDescent="0.3">
      <c r="A3" s="13" t="s">
        <v>19</v>
      </c>
      <c r="B3" s="4" t="s">
        <v>20</v>
      </c>
      <c r="C3" s="4" t="s">
        <v>21</v>
      </c>
      <c r="D3" s="4" t="s">
        <v>22</v>
      </c>
      <c r="E3" s="14">
        <v>46028</v>
      </c>
      <c r="F3" s="14">
        <v>46028</v>
      </c>
      <c r="G3" s="14">
        <v>46149</v>
      </c>
      <c r="H3" s="4">
        <v>12000</v>
      </c>
      <c r="I3" s="4" t="s">
        <v>23</v>
      </c>
      <c r="J3" s="4" t="s">
        <v>17</v>
      </c>
      <c r="K3" s="4" t="s">
        <v>18</v>
      </c>
      <c r="L3" s="4">
        <v>12000</v>
      </c>
      <c r="M3" s="4" t="str">
        <f t="shared" si="0"/>
        <v>Medium</v>
      </c>
      <c r="N3" s="4">
        <f t="shared" si="1"/>
        <v>121</v>
      </c>
      <c r="O3" s="4">
        <f t="shared" si="2"/>
        <v>0</v>
      </c>
      <c r="P3" s="4">
        <f t="shared" ca="1" si="3"/>
        <v>33</v>
      </c>
    </row>
    <row r="4" spans="1:16" x14ac:dyDescent="0.3">
      <c r="A4" s="15" t="s">
        <v>24</v>
      </c>
      <c r="B4" s="16" t="s">
        <v>25</v>
      </c>
      <c r="C4" s="16" t="s">
        <v>21</v>
      </c>
      <c r="D4" s="16" t="s">
        <v>30</v>
      </c>
      <c r="E4" s="17">
        <v>45840</v>
      </c>
      <c r="F4" s="17">
        <v>45840</v>
      </c>
      <c r="G4" s="17">
        <v>45974</v>
      </c>
      <c r="H4" s="16">
        <v>10000</v>
      </c>
      <c r="I4" s="16" t="s">
        <v>23</v>
      </c>
      <c r="J4" s="16" t="s">
        <v>17</v>
      </c>
      <c r="K4" s="16" t="s">
        <v>26</v>
      </c>
      <c r="L4" s="16">
        <v>10000</v>
      </c>
      <c r="M4" s="16" t="str">
        <f t="shared" si="0"/>
        <v>Medium</v>
      </c>
      <c r="N4" s="16">
        <f t="shared" si="1"/>
        <v>134</v>
      </c>
      <c r="O4" s="16">
        <f t="shared" si="2"/>
        <v>0</v>
      </c>
      <c r="P4" s="16">
        <f t="shared" ca="1" si="3"/>
        <v>208</v>
      </c>
    </row>
    <row r="5" spans="1:16" x14ac:dyDescent="0.3">
      <c r="A5" s="13" t="s">
        <v>27</v>
      </c>
      <c r="B5" s="4" t="s">
        <v>28</v>
      </c>
      <c r="C5" s="4" t="s">
        <v>29</v>
      </c>
      <c r="D5" s="4" t="s">
        <v>30</v>
      </c>
      <c r="E5" s="14">
        <v>45748</v>
      </c>
      <c r="F5" s="14">
        <v>45748</v>
      </c>
      <c r="G5" s="14">
        <v>45983</v>
      </c>
      <c r="H5" s="4">
        <v>10000</v>
      </c>
      <c r="I5" s="4" t="s">
        <v>23</v>
      </c>
      <c r="J5" s="4" t="s">
        <v>17</v>
      </c>
      <c r="K5" s="4" t="s">
        <v>31</v>
      </c>
      <c r="L5" s="4">
        <v>10000</v>
      </c>
      <c r="M5" s="4" t="str">
        <f t="shared" si="0"/>
        <v>Medium</v>
      </c>
      <c r="N5" s="4">
        <f t="shared" si="1"/>
        <v>235</v>
      </c>
      <c r="O5" s="4">
        <f t="shared" si="2"/>
        <v>0</v>
      </c>
      <c r="P5" s="4">
        <f t="shared" ca="1" si="3"/>
        <v>199</v>
      </c>
    </row>
    <row r="6" spans="1:16" x14ac:dyDescent="0.3">
      <c r="A6" s="15" t="s">
        <v>32</v>
      </c>
      <c r="B6" s="16" t="s">
        <v>33</v>
      </c>
      <c r="C6" s="16" t="s">
        <v>14</v>
      </c>
      <c r="D6" s="16" t="s">
        <v>30</v>
      </c>
      <c r="E6" s="17">
        <v>46113</v>
      </c>
      <c r="F6" s="17">
        <v>46113</v>
      </c>
      <c r="G6" s="17">
        <v>46395</v>
      </c>
      <c r="H6" s="16">
        <v>10000</v>
      </c>
      <c r="I6" s="16" t="s">
        <v>16</v>
      </c>
      <c r="J6" s="16" t="s">
        <v>35</v>
      </c>
      <c r="K6" s="16" t="s">
        <v>26</v>
      </c>
      <c r="L6" s="16">
        <v>10000</v>
      </c>
      <c r="M6" s="16" t="str">
        <f t="shared" si="0"/>
        <v>Medium</v>
      </c>
      <c r="N6" s="16">
        <f t="shared" si="1"/>
        <v>282</v>
      </c>
      <c r="O6" s="16">
        <f t="shared" si="2"/>
        <v>1</v>
      </c>
      <c r="P6" s="16">
        <f t="shared" ca="1" si="3"/>
        <v>0</v>
      </c>
    </row>
    <row r="7" spans="1:16" x14ac:dyDescent="0.3">
      <c r="A7" s="13" t="s">
        <v>36</v>
      </c>
      <c r="B7" s="4" t="s">
        <v>37</v>
      </c>
      <c r="C7" s="4" t="s">
        <v>38</v>
      </c>
      <c r="D7" s="4" t="s">
        <v>30</v>
      </c>
      <c r="E7" s="14">
        <v>45680</v>
      </c>
      <c r="F7" s="14">
        <v>45680</v>
      </c>
      <c r="G7" s="14">
        <v>45884</v>
      </c>
      <c r="H7" s="4">
        <v>8000</v>
      </c>
      <c r="I7" s="4" t="s">
        <v>16</v>
      </c>
      <c r="J7" s="4" t="s">
        <v>35</v>
      </c>
      <c r="K7" s="4" t="s">
        <v>31</v>
      </c>
      <c r="L7" s="4">
        <v>8000</v>
      </c>
      <c r="M7" s="4" t="str">
        <f t="shared" si="0"/>
        <v>Low</v>
      </c>
      <c r="N7" s="4">
        <f t="shared" si="1"/>
        <v>204</v>
      </c>
      <c r="O7" s="4">
        <f t="shared" si="2"/>
        <v>1</v>
      </c>
      <c r="P7" s="4">
        <f t="shared" ca="1" si="3"/>
        <v>298</v>
      </c>
    </row>
    <row r="8" spans="1:16" x14ac:dyDescent="0.3">
      <c r="A8" s="15" t="s">
        <v>39</v>
      </c>
      <c r="B8" s="16" t="s">
        <v>40</v>
      </c>
      <c r="C8" s="16" t="s">
        <v>29</v>
      </c>
      <c r="D8" s="16" t="s">
        <v>30</v>
      </c>
      <c r="E8" s="17">
        <v>45952</v>
      </c>
      <c r="F8" s="17">
        <v>45952</v>
      </c>
      <c r="G8" s="17">
        <v>46115</v>
      </c>
      <c r="H8" s="16">
        <v>8000</v>
      </c>
      <c r="I8" s="16" t="s">
        <v>16</v>
      </c>
      <c r="J8" s="16" t="s">
        <v>17</v>
      </c>
      <c r="K8" s="16" t="s">
        <v>31</v>
      </c>
      <c r="L8" s="16">
        <v>8000</v>
      </c>
      <c r="M8" s="16" t="str">
        <f t="shared" si="0"/>
        <v>Low</v>
      </c>
      <c r="N8" s="16">
        <f t="shared" si="1"/>
        <v>163</v>
      </c>
      <c r="O8" s="16">
        <f t="shared" si="2"/>
        <v>1</v>
      </c>
      <c r="P8" s="16">
        <f t="shared" ca="1" si="3"/>
        <v>67</v>
      </c>
    </row>
    <row r="9" spans="1:16" x14ac:dyDescent="0.3">
      <c r="A9" s="13" t="s">
        <v>41</v>
      </c>
      <c r="B9" s="4" t="s">
        <v>42</v>
      </c>
      <c r="C9" s="4" t="s">
        <v>14</v>
      </c>
      <c r="D9" s="4" t="s">
        <v>30</v>
      </c>
      <c r="E9" s="14">
        <v>45942</v>
      </c>
      <c r="F9" s="14">
        <v>45942</v>
      </c>
      <c r="G9" s="14">
        <v>46077</v>
      </c>
      <c r="H9" s="4">
        <v>12000</v>
      </c>
      <c r="I9" s="4" t="s">
        <v>16</v>
      </c>
      <c r="J9" s="4" t="s">
        <v>17</v>
      </c>
      <c r="K9" s="4" t="s">
        <v>18</v>
      </c>
      <c r="L9" s="4">
        <v>12000</v>
      </c>
      <c r="M9" s="4" t="str">
        <f t="shared" si="0"/>
        <v>Medium</v>
      </c>
      <c r="N9" s="4">
        <f t="shared" si="1"/>
        <v>135</v>
      </c>
      <c r="O9" s="4">
        <f t="shared" si="2"/>
        <v>1</v>
      </c>
      <c r="P9" s="4">
        <f t="shared" ca="1" si="3"/>
        <v>105</v>
      </c>
    </row>
    <row r="10" spans="1:16" x14ac:dyDescent="0.3">
      <c r="A10" s="15" t="s">
        <v>43</v>
      </c>
      <c r="B10" s="16" t="s">
        <v>44</v>
      </c>
      <c r="C10" s="16" t="s">
        <v>14</v>
      </c>
      <c r="D10" s="16" t="s">
        <v>45</v>
      </c>
      <c r="E10" s="17">
        <v>46012</v>
      </c>
      <c r="F10" s="17">
        <v>46012</v>
      </c>
      <c r="G10" s="17">
        <v>46297</v>
      </c>
      <c r="H10" s="16">
        <v>15000</v>
      </c>
      <c r="I10" s="16" t="s">
        <v>16</v>
      </c>
      <c r="J10" s="16" t="s">
        <v>35</v>
      </c>
      <c r="K10" s="16" t="s">
        <v>31</v>
      </c>
      <c r="L10" s="16">
        <v>15000</v>
      </c>
      <c r="M10" s="16" t="str">
        <f t="shared" si="0"/>
        <v>High</v>
      </c>
      <c r="N10" s="16">
        <f t="shared" si="1"/>
        <v>285</v>
      </c>
      <c r="O10" s="16">
        <f t="shared" si="2"/>
        <v>1</v>
      </c>
      <c r="P10" s="16">
        <f t="shared" ca="1" si="3"/>
        <v>0</v>
      </c>
    </row>
    <row r="11" spans="1:16" x14ac:dyDescent="0.3">
      <c r="A11" s="13" t="s">
        <v>46</v>
      </c>
      <c r="B11" s="4" t="s">
        <v>47</v>
      </c>
      <c r="C11" s="4" t="s">
        <v>29</v>
      </c>
      <c r="D11" s="4" t="s">
        <v>30</v>
      </c>
      <c r="E11" s="14">
        <v>45765</v>
      </c>
      <c r="F11" s="14">
        <v>45765</v>
      </c>
      <c r="G11" s="14">
        <v>46041</v>
      </c>
      <c r="H11" s="4">
        <v>15000</v>
      </c>
      <c r="I11" s="4" t="s">
        <v>23</v>
      </c>
      <c r="J11" s="4" t="s">
        <v>17</v>
      </c>
      <c r="K11" s="4" t="s">
        <v>18</v>
      </c>
      <c r="L11" s="4">
        <v>15000</v>
      </c>
      <c r="M11" s="4" t="str">
        <f t="shared" si="0"/>
        <v>High</v>
      </c>
      <c r="N11" s="4">
        <f t="shared" si="1"/>
        <v>276</v>
      </c>
      <c r="O11" s="4">
        <f t="shared" si="2"/>
        <v>0</v>
      </c>
      <c r="P11" s="4">
        <f t="shared" ca="1" si="3"/>
        <v>141</v>
      </c>
    </row>
    <row r="12" spans="1:16" x14ac:dyDescent="0.3">
      <c r="A12" s="15" t="s">
        <v>48</v>
      </c>
      <c r="B12" s="16" t="s">
        <v>49</v>
      </c>
      <c r="C12" s="16" t="s">
        <v>38</v>
      </c>
      <c r="D12" s="16" t="s">
        <v>30</v>
      </c>
      <c r="E12" s="17">
        <v>45925</v>
      </c>
      <c r="F12" s="17">
        <v>45925</v>
      </c>
      <c r="G12" s="17">
        <v>46130</v>
      </c>
      <c r="H12" s="16">
        <v>18000</v>
      </c>
      <c r="I12" s="16" t="s">
        <v>23</v>
      </c>
      <c r="J12" s="16" t="s">
        <v>35</v>
      </c>
      <c r="K12" s="16" t="s">
        <v>18</v>
      </c>
      <c r="L12" s="16">
        <v>18000</v>
      </c>
      <c r="M12" s="16" t="str">
        <f t="shared" si="0"/>
        <v>High</v>
      </c>
      <c r="N12" s="16">
        <f t="shared" si="1"/>
        <v>205</v>
      </c>
      <c r="O12" s="16">
        <f t="shared" si="2"/>
        <v>0</v>
      </c>
      <c r="P12" s="16">
        <f t="shared" ca="1" si="3"/>
        <v>52</v>
      </c>
    </row>
    <row r="13" spans="1:16" x14ac:dyDescent="0.3">
      <c r="A13" s="13" t="s">
        <v>50</v>
      </c>
      <c r="B13" s="4" t="s">
        <v>51</v>
      </c>
      <c r="C13" s="4" t="s">
        <v>29</v>
      </c>
      <c r="D13" s="4" t="s">
        <v>30</v>
      </c>
      <c r="E13" s="14">
        <v>46000</v>
      </c>
      <c r="F13" s="14">
        <v>46000</v>
      </c>
      <c r="G13" s="14">
        <v>46334</v>
      </c>
      <c r="H13" s="4">
        <v>8000</v>
      </c>
      <c r="I13" s="4" t="s">
        <v>16</v>
      </c>
      <c r="J13" s="4" t="s">
        <v>35</v>
      </c>
      <c r="K13" s="4" t="s">
        <v>18</v>
      </c>
      <c r="L13" s="4">
        <v>8000</v>
      </c>
      <c r="M13" s="4" t="str">
        <f t="shared" si="0"/>
        <v>Low</v>
      </c>
      <c r="N13" s="4">
        <f t="shared" si="1"/>
        <v>334</v>
      </c>
      <c r="O13" s="4">
        <f t="shared" si="2"/>
        <v>1</v>
      </c>
      <c r="P13" s="4">
        <f t="shared" ca="1" si="3"/>
        <v>0</v>
      </c>
    </row>
    <row r="14" spans="1:16" x14ac:dyDescent="0.3">
      <c r="A14" s="15" t="s">
        <v>52</v>
      </c>
      <c r="B14" s="16" t="s">
        <v>53</v>
      </c>
      <c r="C14" s="16" t="s">
        <v>14</v>
      </c>
      <c r="D14" s="16" t="s">
        <v>30</v>
      </c>
      <c r="E14" s="17">
        <v>45912</v>
      </c>
      <c r="F14" s="17">
        <v>45912</v>
      </c>
      <c r="G14" s="17">
        <v>46171</v>
      </c>
      <c r="H14" s="16">
        <v>10000</v>
      </c>
      <c r="I14" s="16" t="s">
        <v>16</v>
      </c>
      <c r="J14" s="16" t="s">
        <v>35</v>
      </c>
      <c r="K14" s="16" t="s">
        <v>31</v>
      </c>
      <c r="L14" s="16">
        <v>10000</v>
      </c>
      <c r="M14" s="16" t="str">
        <f t="shared" si="0"/>
        <v>Medium</v>
      </c>
      <c r="N14" s="16">
        <f t="shared" si="1"/>
        <v>259</v>
      </c>
      <c r="O14" s="16">
        <f t="shared" si="2"/>
        <v>1</v>
      </c>
      <c r="P14" s="16">
        <f t="shared" ca="1" si="3"/>
        <v>11</v>
      </c>
    </row>
    <row r="15" spans="1:16" x14ac:dyDescent="0.3">
      <c r="A15" s="13" t="s">
        <v>54</v>
      </c>
      <c r="B15" s="4" t="s">
        <v>55</v>
      </c>
      <c r="C15" s="4" t="s">
        <v>14</v>
      </c>
      <c r="D15" s="4" t="s">
        <v>22</v>
      </c>
      <c r="E15" s="14">
        <v>46083</v>
      </c>
      <c r="F15" s="14">
        <v>46083</v>
      </c>
      <c r="G15" s="14">
        <v>46172</v>
      </c>
      <c r="H15" s="4">
        <v>12000</v>
      </c>
      <c r="I15" s="4" t="s">
        <v>16</v>
      </c>
      <c r="J15" s="4" t="s">
        <v>17</v>
      </c>
      <c r="K15" s="4" t="s">
        <v>18</v>
      </c>
      <c r="L15" s="4">
        <v>12000</v>
      </c>
      <c r="M15" s="4" t="str">
        <f t="shared" si="0"/>
        <v>Medium</v>
      </c>
      <c r="N15" s="4">
        <f t="shared" si="1"/>
        <v>89</v>
      </c>
      <c r="O15" s="4">
        <f t="shared" si="2"/>
        <v>1</v>
      </c>
      <c r="P15" s="4">
        <f t="shared" ca="1" si="3"/>
        <v>10</v>
      </c>
    </row>
    <row r="16" spans="1:16" x14ac:dyDescent="0.3">
      <c r="A16" s="15" t="s">
        <v>56</v>
      </c>
      <c r="B16" s="16" t="s">
        <v>57</v>
      </c>
      <c r="C16" s="16" t="s">
        <v>14</v>
      </c>
      <c r="D16" s="16" t="s">
        <v>30</v>
      </c>
      <c r="E16" s="17">
        <v>45870</v>
      </c>
      <c r="F16" s="17">
        <v>45870</v>
      </c>
      <c r="G16" s="17">
        <v>46028</v>
      </c>
      <c r="H16" s="16">
        <v>18000</v>
      </c>
      <c r="I16" s="16" t="s">
        <v>16</v>
      </c>
      <c r="J16" s="16" t="s">
        <v>35</v>
      </c>
      <c r="K16" s="16" t="s">
        <v>31</v>
      </c>
      <c r="L16" s="16">
        <v>18000</v>
      </c>
      <c r="M16" s="16" t="str">
        <f t="shared" si="0"/>
        <v>High</v>
      </c>
      <c r="N16" s="16">
        <f t="shared" si="1"/>
        <v>158</v>
      </c>
      <c r="O16" s="16">
        <f t="shared" si="2"/>
        <v>1</v>
      </c>
      <c r="P16" s="16">
        <f t="shared" ca="1" si="3"/>
        <v>154</v>
      </c>
    </row>
    <row r="17" spans="1:16" x14ac:dyDescent="0.3">
      <c r="A17" s="13" t="s">
        <v>58</v>
      </c>
      <c r="B17" s="4" t="s">
        <v>59</v>
      </c>
      <c r="C17" s="4" t="s">
        <v>29</v>
      </c>
      <c r="D17" s="4" t="s">
        <v>30</v>
      </c>
      <c r="E17" s="14">
        <v>46147</v>
      </c>
      <c r="F17" s="14">
        <v>45759</v>
      </c>
      <c r="G17" s="14">
        <v>46036</v>
      </c>
      <c r="H17" s="4">
        <v>12000</v>
      </c>
      <c r="I17" s="4" t="s">
        <v>23</v>
      </c>
      <c r="J17" s="4" t="s">
        <v>17</v>
      </c>
      <c r="K17" s="4" t="s">
        <v>18</v>
      </c>
      <c r="L17" s="4">
        <v>12000</v>
      </c>
      <c r="M17" s="4" t="str">
        <f t="shared" si="0"/>
        <v>Medium</v>
      </c>
      <c r="N17" s="4">
        <f t="shared" si="1"/>
        <v>-111</v>
      </c>
      <c r="O17" s="4">
        <f t="shared" si="2"/>
        <v>0</v>
      </c>
      <c r="P17" s="4">
        <f t="shared" ca="1" si="3"/>
        <v>146</v>
      </c>
    </row>
    <row r="18" spans="1:16" x14ac:dyDescent="0.3">
      <c r="A18" s="15" t="s">
        <v>60</v>
      </c>
      <c r="B18" s="16" t="s">
        <v>61</v>
      </c>
      <c r="C18" s="16" t="s">
        <v>21</v>
      </c>
      <c r="D18" s="16" t="s">
        <v>30</v>
      </c>
      <c r="E18" s="17">
        <v>46035</v>
      </c>
      <c r="F18" s="17">
        <v>46035</v>
      </c>
      <c r="G18" s="17">
        <v>46182</v>
      </c>
      <c r="H18" s="16">
        <v>18000</v>
      </c>
      <c r="I18" s="16" t="s">
        <v>16</v>
      </c>
      <c r="J18" s="16" t="s">
        <v>35</v>
      </c>
      <c r="K18" s="16" t="s">
        <v>26</v>
      </c>
      <c r="L18" s="16">
        <v>18000</v>
      </c>
      <c r="M18" s="16" t="str">
        <f t="shared" si="0"/>
        <v>High</v>
      </c>
      <c r="N18" s="16">
        <f t="shared" si="1"/>
        <v>147</v>
      </c>
      <c r="O18" s="16">
        <f t="shared" si="2"/>
        <v>1</v>
      </c>
      <c r="P18" s="16">
        <f t="shared" ca="1" si="3"/>
        <v>0</v>
      </c>
    </row>
    <row r="19" spans="1:16" x14ac:dyDescent="0.3">
      <c r="A19" s="13" t="s">
        <v>62</v>
      </c>
      <c r="B19" s="4" t="s">
        <v>63</v>
      </c>
      <c r="C19" s="4" t="s">
        <v>38</v>
      </c>
      <c r="D19" s="4" t="s">
        <v>30</v>
      </c>
      <c r="E19" s="14">
        <v>45779</v>
      </c>
      <c r="F19" s="14">
        <v>45779</v>
      </c>
      <c r="G19" s="14">
        <v>46141</v>
      </c>
      <c r="H19" s="4">
        <v>18000</v>
      </c>
      <c r="I19" s="4" t="s">
        <v>16</v>
      </c>
      <c r="J19" s="4" t="s">
        <v>17</v>
      </c>
      <c r="K19" s="4" t="s">
        <v>18</v>
      </c>
      <c r="L19" s="4">
        <v>18000</v>
      </c>
      <c r="M19" s="4" t="str">
        <f t="shared" si="0"/>
        <v>High</v>
      </c>
      <c r="N19" s="4">
        <f t="shared" si="1"/>
        <v>362</v>
      </c>
      <c r="O19" s="4">
        <f t="shared" si="2"/>
        <v>1</v>
      </c>
      <c r="P19" s="4">
        <f t="shared" ca="1" si="3"/>
        <v>41</v>
      </c>
    </row>
    <row r="20" spans="1:16" x14ac:dyDescent="0.3">
      <c r="A20" s="15" t="s">
        <v>64</v>
      </c>
      <c r="B20" s="16" t="s">
        <v>65</v>
      </c>
      <c r="C20" s="16" t="s">
        <v>38</v>
      </c>
      <c r="D20" s="16" t="s">
        <v>30</v>
      </c>
      <c r="E20" s="17">
        <v>45758</v>
      </c>
      <c r="F20" s="17">
        <v>45758</v>
      </c>
      <c r="G20" s="17">
        <v>45965</v>
      </c>
      <c r="H20" s="16">
        <v>8000</v>
      </c>
      <c r="I20" s="16" t="s">
        <v>16</v>
      </c>
      <c r="J20" s="16" t="s">
        <v>35</v>
      </c>
      <c r="K20" s="16" t="s">
        <v>18</v>
      </c>
      <c r="L20" s="16">
        <v>8000</v>
      </c>
      <c r="M20" s="16" t="str">
        <f t="shared" si="0"/>
        <v>Low</v>
      </c>
      <c r="N20" s="16">
        <f t="shared" si="1"/>
        <v>207</v>
      </c>
      <c r="O20" s="16">
        <f t="shared" si="2"/>
        <v>1</v>
      </c>
      <c r="P20" s="16">
        <f t="shared" ca="1" si="3"/>
        <v>217</v>
      </c>
    </row>
    <row r="21" spans="1:16" x14ac:dyDescent="0.3">
      <c r="A21" s="13" t="s">
        <v>66</v>
      </c>
      <c r="B21" s="4" t="s">
        <v>67</v>
      </c>
      <c r="C21" s="4" t="s">
        <v>29</v>
      </c>
      <c r="D21" s="4" t="s">
        <v>30</v>
      </c>
      <c r="E21" s="14">
        <v>46129</v>
      </c>
      <c r="F21" s="14">
        <v>46129</v>
      </c>
      <c r="G21" s="14">
        <v>46412</v>
      </c>
      <c r="H21" s="4">
        <v>12000</v>
      </c>
      <c r="I21" s="4" t="s">
        <v>16</v>
      </c>
      <c r="J21" s="4" t="s">
        <v>17</v>
      </c>
      <c r="K21" s="4" t="s">
        <v>68</v>
      </c>
      <c r="L21" s="4">
        <v>12000</v>
      </c>
      <c r="M21" s="4" t="str">
        <f t="shared" si="0"/>
        <v>Medium</v>
      </c>
      <c r="N21" s="4">
        <f t="shared" si="1"/>
        <v>283</v>
      </c>
      <c r="O21" s="4">
        <f t="shared" si="2"/>
        <v>1</v>
      </c>
      <c r="P21" s="4">
        <f t="shared" ca="1" si="3"/>
        <v>0</v>
      </c>
    </row>
    <row r="22" spans="1:16" x14ac:dyDescent="0.3">
      <c r="A22" s="15" t="s">
        <v>69</v>
      </c>
      <c r="B22" s="16" t="s">
        <v>70</v>
      </c>
      <c r="C22" s="16" t="s">
        <v>38</v>
      </c>
      <c r="D22" s="16" t="s">
        <v>30</v>
      </c>
      <c r="E22" s="17">
        <v>46064</v>
      </c>
      <c r="F22" s="17">
        <v>46064</v>
      </c>
      <c r="G22" s="17">
        <v>46257</v>
      </c>
      <c r="H22" s="16">
        <v>12000</v>
      </c>
      <c r="I22" s="16" t="s">
        <v>16</v>
      </c>
      <c r="J22" s="16" t="s">
        <v>17</v>
      </c>
      <c r="K22" s="16" t="s">
        <v>18</v>
      </c>
      <c r="L22" s="16">
        <v>12000</v>
      </c>
      <c r="M22" s="16" t="str">
        <f t="shared" si="0"/>
        <v>Medium</v>
      </c>
      <c r="N22" s="16">
        <f t="shared" si="1"/>
        <v>193</v>
      </c>
      <c r="O22" s="16">
        <f t="shared" si="2"/>
        <v>1</v>
      </c>
      <c r="P22" s="16">
        <f t="shared" ca="1" si="3"/>
        <v>0</v>
      </c>
    </row>
    <row r="23" spans="1:16" x14ac:dyDescent="0.3">
      <c r="A23" s="13" t="s">
        <v>71</v>
      </c>
      <c r="B23" s="4" t="s">
        <v>72</v>
      </c>
      <c r="C23" s="4" t="s">
        <v>14</v>
      </c>
      <c r="D23" s="4" t="s">
        <v>30</v>
      </c>
      <c r="E23" s="14">
        <v>45700</v>
      </c>
      <c r="F23" s="14">
        <v>45700</v>
      </c>
      <c r="G23" s="14">
        <v>45882</v>
      </c>
      <c r="H23" s="4">
        <v>18000</v>
      </c>
      <c r="I23" s="4" t="s">
        <v>23</v>
      </c>
      <c r="J23" s="4" t="s">
        <v>35</v>
      </c>
      <c r="K23" s="4" t="s">
        <v>31</v>
      </c>
      <c r="L23" s="4">
        <v>18000</v>
      </c>
      <c r="M23" s="4" t="str">
        <f t="shared" si="0"/>
        <v>High</v>
      </c>
      <c r="N23" s="4">
        <f t="shared" si="1"/>
        <v>182</v>
      </c>
      <c r="O23" s="4">
        <f t="shared" si="2"/>
        <v>0</v>
      </c>
      <c r="P23" s="4">
        <f t="shared" ca="1" si="3"/>
        <v>300</v>
      </c>
    </row>
    <row r="24" spans="1:16" x14ac:dyDescent="0.3">
      <c r="A24" s="15" t="s">
        <v>73</v>
      </c>
      <c r="B24" s="16" t="s">
        <v>74</v>
      </c>
      <c r="C24" s="16" t="s">
        <v>38</v>
      </c>
      <c r="D24" s="16" t="s">
        <v>45</v>
      </c>
      <c r="E24" s="17">
        <v>46009</v>
      </c>
      <c r="F24" s="17">
        <v>46009</v>
      </c>
      <c r="G24" s="17">
        <v>46292</v>
      </c>
      <c r="H24" s="16">
        <v>15000</v>
      </c>
      <c r="I24" s="16" t="s">
        <v>23</v>
      </c>
      <c r="J24" s="16" t="s">
        <v>35</v>
      </c>
      <c r="K24" s="16" t="s">
        <v>18</v>
      </c>
      <c r="L24" s="16">
        <v>15000</v>
      </c>
      <c r="M24" s="16" t="str">
        <f t="shared" si="0"/>
        <v>High</v>
      </c>
      <c r="N24" s="16">
        <f t="shared" si="1"/>
        <v>283</v>
      </c>
      <c r="O24" s="16">
        <f t="shared" si="2"/>
        <v>0</v>
      </c>
      <c r="P24" s="16">
        <f t="shared" ca="1" si="3"/>
        <v>0</v>
      </c>
    </row>
    <row r="25" spans="1:16" x14ac:dyDescent="0.3">
      <c r="A25" s="13" t="s">
        <v>75</v>
      </c>
      <c r="B25" s="4" t="s">
        <v>76</v>
      </c>
      <c r="C25" s="4" t="s">
        <v>29</v>
      </c>
      <c r="D25" s="4" t="s">
        <v>22</v>
      </c>
      <c r="E25" s="14">
        <v>45752</v>
      </c>
      <c r="F25" s="14">
        <v>45752</v>
      </c>
      <c r="G25" s="14">
        <v>45949</v>
      </c>
      <c r="H25" s="4">
        <v>18000</v>
      </c>
      <c r="I25" s="4" t="s">
        <v>16</v>
      </c>
      <c r="J25" s="4" t="s">
        <v>17</v>
      </c>
      <c r="K25" s="4" t="s">
        <v>26</v>
      </c>
      <c r="L25" s="4">
        <v>18000</v>
      </c>
      <c r="M25" s="4" t="str">
        <f t="shared" si="0"/>
        <v>High</v>
      </c>
      <c r="N25" s="4">
        <f t="shared" si="1"/>
        <v>197</v>
      </c>
      <c r="O25" s="4">
        <f t="shared" si="2"/>
        <v>1</v>
      </c>
      <c r="P25" s="4">
        <f t="shared" ca="1" si="3"/>
        <v>233</v>
      </c>
    </row>
    <row r="26" spans="1:16" x14ac:dyDescent="0.3">
      <c r="A26" s="15" t="s">
        <v>77</v>
      </c>
      <c r="B26" s="16" t="s">
        <v>78</v>
      </c>
      <c r="C26" s="16" t="s">
        <v>14</v>
      </c>
      <c r="D26" s="16" t="s">
        <v>30</v>
      </c>
      <c r="E26" s="17">
        <v>45924</v>
      </c>
      <c r="F26" s="17">
        <v>45924</v>
      </c>
      <c r="G26" s="17">
        <v>46132</v>
      </c>
      <c r="H26" s="16">
        <v>10000</v>
      </c>
      <c r="I26" s="16" t="s">
        <v>16</v>
      </c>
      <c r="J26" s="16" t="s">
        <v>35</v>
      </c>
      <c r="K26" s="16" t="s">
        <v>26</v>
      </c>
      <c r="L26" s="16">
        <v>10000</v>
      </c>
      <c r="M26" s="16" t="str">
        <f t="shared" si="0"/>
        <v>Medium</v>
      </c>
      <c r="N26" s="16">
        <f t="shared" si="1"/>
        <v>208</v>
      </c>
      <c r="O26" s="16">
        <f t="shared" si="2"/>
        <v>1</v>
      </c>
      <c r="P26" s="16">
        <f t="shared" ca="1" si="3"/>
        <v>50</v>
      </c>
    </row>
    <row r="27" spans="1:16" x14ac:dyDescent="0.3">
      <c r="A27" s="13" t="s">
        <v>79</v>
      </c>
      <c r="B27" s="4" t="s">
        <v>80</v>
      </c>
      <c r="C27" s="4" t="s">
        <v>38</v>
      </c>
      <c r="D27" s="4" t="s">
        <v>22</v>
      </c>
      <c r="E27" s="14">
        <v>45932</v>
      </c>
      <c r="F27" s="14">
        <v>45932</v>
      </c>
      <c r="G27" s="14">
        <v>46148</v>
      </c>
      <c r="H27" s="4">
        <v>12000</v>
      </c>
      <c r="I27" s="4" t="s">
        <v>16</v>
      </c>
      <c r="J27" s="4" t="s">
        <v>17</v>
      </c>
      <c r="K27" s="4" t="s">
        <v>68</v>
      </c>
      <c r="L27" s="4">
        <v>12000</v>
      </c>
      <c r="M27" s="4" t="str">
        <f t="shared" si="0"/>
        <v>Medium</v>
      </c>
      <c r="N27" s="4">
        <f t="shared" si="1"/>
        <v>216</v>
      </c>
      <c r="O27" s="4">
        <f t="shared" si="2"/>
        <v>1</v>
      </c>
      <c r="P27" s="4">
        <f t="shared" ca="1" si="3"/>
        <v>34</v>
      </c>
    </row>
    <row r="28" spans="1:16" x14ac:dyDescent="0.3">
      <c r="A28" s="15" t="s">
        <v>81</v>
      </c>
      <c r="B28" s="16" t="s">
        <v>82</v>
      </c>
      <c r="C28" s="16" t="s">
        <v>38</v>
      </c>
      <c r="D28" s="16" t="s">
        <v>22</v>
      </c>
      <c r="E28" s="17">
        <v>45867</v>
      </c>
      <c r="F28" s="17">
        <v>45867</v>
      </c>
      <c r="G28" s="17">
        <v>46180</v>
      </c>
      <c r="H28" s="16">
        <v>8000</v>
      </c>
      <c r="I28" s="16" t="s">
        <v>23</v>
      </c>
      <c r="J28" s="16" t="s">
        <v>35</v>
      </c>
      <c r="K28" s="16" t="s">
        <v>68</v>
      </c>
      <c r="L28" s="16">
        <v>8000</v>
      </c>
      <c r="M28" s="16" t="str">
        <f t="shared" si="0"/>
        <v>Low</v>
      </c>
      <c r="N28" s="16">
        <f t="shared" si="1"/>
        <v>313</v>
      </c>
      <c r="O28" s="16">
        <f t="shared" si="2"/>
        <v>0</v>
      </c>
      <c r="P28" s="16">
        <f t="shared" ca="1" si="3"/>
        <v>2</v>
      </c>
    </row>
    <row r="29" spans="1:16" x14ac:dyDescent="0.3">
      <c r="A29" s="13" t="s">
        <v>83</v>
      </c>
      <c r="B29" s="4" t="s">
        <v>84</v>
      </c>
      <c r="C29" s="4" t="s">
        <v>14</v>
      </c>
      <c r="D29" s="4" t="s">
        <v>30</v>
      </c>
      <c r="E29" s="14">
        <v>45779</v>
      </c>
      <c r="F29" s="14">
        <v>45779</v>
      </c>
      <c r="G29" s="14">
        <v>45972</v>
      </c>
      <c r="H29" s="4">
        <v>10000</v>
      </c>
      <c r="I29" s="4" t="s">
        <v>23</v>
      </c>
      <c r="J29" s="4" t="s">
        <v>35</v>
      </c>
      <c r="K29" s="4" t="s">
        <v>31</v>
      </c>
      <c r="L29" s="4">
        <v>10000</v>
      </c>
      <c r="M29" s="4" t="str">
        <f t="shared" si="0"/>
        <v>Medium</v>
      </c>
      <c r="N29" s="4">
        <f t="shared" si="1"/>
        <v>193</v>
      </c>
      <c r="O29" s="4">
        <f t="shared" si="2"/>
        <v>0</v>
      </c>
      <c r="P29" s="4">
        <f t="shared" ca="1" si="3"/>
        <v>210</v>
      </c>
    </row>
    <row r="30" spans="1:16" x14ac:dyDescent="0.3">
      <c r="A30" s="15" t="s">
        <v>85</v>
      </c>
      <c r="B30" s="16" t="s">
        <v>86</v>
      </c>
      <c r="C30" s="16" t="s">
        <v>38</v>
      </c>
      <c r="D30" s="16" t="s">
        <v>45</v>
      </c>
      <c r="E30" s="17">
        <v>46094</v>
      </c>
      <c r="F30" s="17">
        <v>46094</v>
      </c>
      <c r="G30" s="17">
        <v>46143</v>
      </c>
      <c r="H30" s="16">
        <v>8000</v>
      </c>
      <c r="I30" s="16" t="s">
        <v>16</v>
      </c>
      <c r="J30" s="16" t="s">
        <v>17</v>
      </c>
      <c r="K30" s="16" t="s">
        <v>18</v>
      </c>
      <c r="L30" s="16">
        <v>8000</v>
      </c>
      <c r="M30" s="16" t="str">
        <f t="shared" si="0"/>
        <v>Low</v>
      </c>
      <c r="N30" s="16">
        <f t="shared" si="1"/>
        <v>49</v>
      </c>
      <c r="O30" s="16">
        <f t="shared" si="2"/>
        <v>1</v>
      </c>
      <c r="P30" s="16">
        <f t="shared" ca="1" si="3"/>
        <v>39</v>
      </c>
    </row>
    <row r="31" spans="1:16" x14ac:dyDescent="0.3">
      <c r="A31" s="13" t="s">
        <v>87</v>
      </c>
      <c r="B31" s="4" t="s">
        <v>88</v>
      </c>
      <c r="C31" s="4" t="s">
        <v>38</v>
      </c>
      <c r="D31" s="4" t="s">
        <v>30</v>
      </c>
      <c r="E31" s="14">
        <v>45799</v>
      </c>
      <c r="F31" s="14">
        <v>45799</v>
      </c>
      <c r="G31" s="14">
        <v>45916</v>
      </c>
      <c r="H31" s="4">
        <v>8000</v>
      </c>
      <c r="I31" s="4" t="s">
        <v>16</v>
      </c>
      <c r="J31" s="4" t="s">
        <v>35</v>
      </c>
      <c r="K31" s="4" t="s">
        <v>26</v>
      </c>
      <c r="L31" s="4">
        <v>8000</v>
      </c>
      <c r="M31" s="4" t="str">
        <f t="shared" si="0"/>
        <v>Low</v>
      </c>
      <c r="N31" s="4">
        <f t="shared" si="1"/>
        <v>117</v>
      </c>
      <c r="O31" s="4">
        <f t="shared" si="2"/>
        <v>1</v>
      </c>
      <c r="P31" s="4">
        <f t="shared" ca="1" si="3"/>
        <v>266</v>
      </c>
    </row>
    <row r="32" spans="1:16" x14ac:dyDescent="0.3">
      <c r="A32" s="15" t="s">
        <v>89</v>
      </c>
      <c r="B32" s="16" t="s">
        <v>90</v>
      </c>
      <c r="C32" s="16" t="s">
        <v>29</v>
      </c>
      <c r="D32" s="16" t="s">
        <v>30</v>
      </c>
      <c r="E32" s="17">
        <v>46098</v>
      </c>
      <c r="F32" s="17">
        <v>46098</v>
      </c>
      <c r="G32" s="17">
        <v>46327</v>
      </c>
      <c r="H32" s="16">
        <v>15000</v>
      </c>
      <c r="I32" s="16" t="s">
        <v>16</v>
      </c>
      <c r="J32" s="16" t="s">
        <v>35</v>
      </c>
      <c r="K32" s="16" t="s">
        <v>18</v>
      </c>
      <c r="L32" s="16">
        <v>15000</v>
      </c>
      <c r="M32" s="16" t="str">
        <f t="shared" si="0"/>
        <v>High</v>
      </c>
      <c r="N32" s="16">
        <f t="shared" si="1"/>
        <v>229</v>
      </c>
      <c r="O32" s="16">
        <f t="shared" si="2"/>
        <v>1</v>
      </c>
      <c r="P32" s="16">
        <f t="shared" ca="1" si="3"/>
        <v>0</v>
      </c>
    </row>
    <row r="33" spans="1:16" x14ac:dyDescent="0.3">
      <c r="A33" s="13" t="s">
        <v>91</v>
      </c>
      <c r="B33" s="4" t="s">
        <v>92</v>
      </c>
      <c r="C33" s="4" t="s">
        <v>38</v>
      </c>
      <c r="D33" s="4" t="s">
        <v>45</v>
      </c>
      <c r="E33" s="14">
        <v>45812</v>
      </c>
      <c r="F33" s="14">
        <v>45812</v>
      </c>
      <c r="G33" s="14">
        <v>46098</v>
      </c>
      <c r="H33" s="4">
        <v>15000</v>
      </c>
      <c r="I33" s="4" t="s">
        <v>23</v>
      </c>
      <c r="J33" s="4" t="s">
        <v>17</v>
      </c>
      <c r="K33" s="4" t="s">
        <v>68</v>
      </c>
      <c r="L33" s="4">
        <v>15000</v>
      </c>
      <c r="M33" s="4" t="str">
        <f t="shared" si="0"/>
        <v>High</v>
      </c>
      <c r="N33" s="4">
        <f t="shared" si="1"/>
        <v>286</v>
      </c>
      <c r="O33" s="4">
        <f t="shared" si="2"/>
        <v>0</v>
      </c>
      <c r="P33" s="4">
        <f t="shared" ca="1" si="3"/>
        <v>84</v>
      </c>
    </row>
    <row r="34" spans="1:16" x14ac:dyDescent="0.3">
      <c r="A34" s="15" t="s">
        <v>93</v>
      </c>
      <c r="B34" s="16" t="s">
        <v>94</v>
      </c>
      <c r="C34" s="16" t="s">
        <v>38</v>
      </c>
      <c r="D34" s="16" t="s">
        <v>45</v>
      </c>
      <c r="E34" s="17">
        <v>46173</v>
      </c>
      <c r="F34" s="17">
        <v>45861</v>
      </c>
      <c r="G34" s="17">
        <v>46195</v>
      </c>
      <c r="H34" s="16">
        <v>12000</v>
      </c>
      <c r="I34" s="16" t="s">
        <v>16</v>
      </c>
      <c r="J34" s="16" t="s">
        <v>17</v>
      </c>
      <c r="K34" s="16" t="s">
        <v>18</v>
      </c>
      <c r="L34" s="16">
        <v>12000</v>
      </c>
      <c r="M34" s="16" t="str">
        <f t="shared" ref="M34:M65" si="4">IF(H34&gt;=15000,"High",IF(H34&gt;=10000,"Medium","Low"))</f>
        <v>Medium</v>
      </c>
      <c r="N34" s="16">
        <f t="shared" ref="N34:N65" si="5">G34-E34</f>
        <v>22</v>
      </c>
      <c r="O34" s="16">
        <f t="shared" ref="O34:O65" si="6">IF(I34="Occupied",1,0)</f>
        <v>1</v>
      </c>
      <c r="P34" s="16">
        <f t="shared" ref="P34:P65" ca="1" si="7">IF(G34&lt;TODAY(),TODAY()-G34,0)</f>
        <v>0</v>
      </c>
    </row>
    <row r="35" spans="1:16" x14ac:dyDescent="0.3">
      <c r="A35" s="13" t="s">
        <v>95</v>
      </c>
      <c r="B35" s="4" t="s">
        <v>96</v>
      </c>
      <c r="C35" s="4" t="s">
        <v>14</v>
      </c>
      <c r="D35" s="4" t="s">
        <v>30</v>
      </c>
      <c r="E35" s="14">
        <v>45690</v>
      </c>
      <c r="F35" s="14">
        <v>45690</v>
      </c>
      <c r="G35" s="14">
        <v>45951</v>
      </c>
      <c r="H35" s="4">
        <v>12000</v>
      </c>
      <c r="I35" s="4" t="s">
        <v>23</v>
      </c>
      <c r="J35" s="4" t="s">
        <v>35</v>
      </c>
      <c r="K35" s="4" t="s">
        <v>18</v>
      </c>
      <c r="L35" s="4">
        <v>12000</v>
      </c>
      <c r="M35" s="4" t="str">
        <f t="shared" si="4"/>
        <v>Medium</v>
      </c>
      <c r="N35" s="4">
        <f t="shared" si="5"/>
        <v>261</v>
      </c>
      <c r="O35" s="4">
        <f t="shared" si="6"/>
        <v>0</v>
      </c>
      <c r="P35" s="4">
        <f t="shared" ca="1" si="7"/>
        <v>231</v>
      </c>
    </row>
    <row r="36" spans="1:16" x14ac:dyDescent="0.3">
      <c r="A36" s="15" t="s">
        <v>97</v>
      </c>
      <c r="B36" s="16" t="s">
        <v>98</v>
      </c>
      <c r="C36" s="16" t="s">
        <v>14</v>
      </c>
      <c r="D36" s="16" t="s">
        <v>22</v>
      </c>
      <c r="E36" s="17">
        <v>45708</v>
      </c>
      <c r="F36" s="17">
        <v>45708</v>
      </c>
      <c r="G36" s="17">
        <v>45961</v>
      </c>
      <c r="H36" s="16">
        <v>10000</v>
      </c>
      <c r="I36" s="16" t="s">
        <v>16</v>
      </c>
      <c r="J36" s="16" t="s">
        <v>35</v>
      </c>
      <c r="K36" s="16" t="s">
        <v>68</v>
      </c>
      <c r="L36" s="16">
        <v>10000</v>
      </c>
      <c r="M36" s="16" t="str">
        <f t="shared" si="4"/>
        <v>Medium</v>
      </c>
      <c r="N36" s="16">
        <f t="shared" si="5"/>
        <v>253</v>
      </c>
      <c r="O36" s="16">
        <f t="shared" si="6"/>
        <v>1</v>
      </c>
      <c r="P36" s="16">
        <f t="shared" ca="1" si="7"/>
        <v>221</v>
      </c>
    </row>
    <row r="37" spans="1:16" x14ac:dyDescent="0.3">
      <c r="A37" s="13" t="s">
        <v>99</v>
      </c>
      <c r="B37" s="4" t="s">
        <v>100</v>
      </c>
      <c r="C37" s="4" t="s">
        <v>38</v>
      </c>
      <c r="D37" s="4" t="s">
        <v>22</v>
      </c>
      <c r="E37" s="14">
        <v>45804</v>
      </c>
      <c r="F37" s="14">
        <v>45804</v>
      </c>
      <c r="G37" s="14">
        <v>46069</v>
      </c>
      <c r="H37" s="4">
        <v>8000</v>
      </c>
      <c r="I37" s="4" t="s">
        <v>16</v>
      </c>
      <c r="J37" s="4" t="s">
        <v>17</v>
      </c>
      <c r="K37" s="4" t="s">
        <v>26</v>
      </c>
      <c r="L37" s="4">
        <v>8000</v>
      </c>
      <c r="M37" s="4" t="str">
        <f t="shared" si="4"/>
        <v>Low</v>
      </c>
      <c r="N37" s="4">
        <f t="shared" si="5"/>
        <v>265</v>
      </c>
      <c r="O37" s="4">
        <f t="shared" si="6"/>
        <v>1</v>
      </c>
      <c r="P37" s="4">
        <f t="shared" ca="1" si="7"/>
        <v>113</v>
      </c>
    </row>
    <row r="38" spans="1:16" x14ac:dyDescent="0.3">
      <c r="A38" s="15" t="s">
        <v>101</v>
      </c>
      <c r="B38" s="16" t="s">
        <v>102</v>
      </c>
      <c r="C38" s="16" t="s">
        <v>29</v>
      </c>
      <c r="D38" s="16" t="s">
        <v>30</v>
      </c>
      <c r="E38" s="17">
        <v>46031</v>
      </c>
      <c r="F38" s="17">
        <v>46031</v>
      </c>
      <c r="G38" s="17">
        <v>46223</v>
      </c>
      <c r="H38" s="16">
        <v>18000</v>
      </c>
      <c r="I38" s="16" t="s">
        <v>23</v>
      </c>
      <c r="J38" s="16" t="s">
        <v>17</v>
      </c>
      <c r="K38" s="16" t="s">
        <v>68</v>
      </c>
      <c r="L38" s="16">
        <v>18000</v>
      </c>
      <c r="M38" s="16" t="str">
        <f t="shared" si="4"/>
        <v>High</v>
      </c>
      <c r="N38" s="16">
        <f t="shared" si="5"/>
        <v>192</v>
      </c>
      <c r="O38" s="16">
        <f t="shared" si="6"/>
        <v>0</v>
      </c>
      <c r="P38" s="16">
        <f t="shared" ca="1" si="7"/>
        <v>0</v>
      </c>
    </row>
    <row r="39" spans="1:16" x14ac:dyDescent="0.3">
      <c r="A39" s="13" t="s">
        <v>103</v>
      </c>
      <c r="B39" s="4" t="s">
        <v>104</v>
      </c>
      <c r="C39" s="4" t="s">
        <v>14</v>
      </c>
      <c r="D39" s="4" t="s">
        <v>45</v>
      </c>
      <c r="E39" s="14">
        <v>45905</v>
      </c>
      <c r="F39" s="14">
        <v>45905</v>
      </c>
      <c r="G39" s="14">
        <v>46134</v>
      </c>
      <c r="H39" s="4">
        <v>18000</v>
      </c>
      <c r="I39" s="4" t="s">
        <v>23</v>
      </c>
      <c r="J39" s="4" t="s">
        <v>35</v>
      </c>
      <c r="K39" s="4" t="s">
        <v>26</v>
      </c>
      <c r="L39" s="4">
        <v>18000</v>
      </c>
      <c r="M39" s="4" t="str">
        <f t="shared" si="4"/>
        <v>High</v>
      </c>
      <c r="N39" s="4">
        <f t="shared" si="5"/>
        <v>229</v>
      </c>
      <c r="O39" s="4">
        <f t="shared" si="6"/>
        <v>0</v>
      </c>
      <c r="P39" s="4">
        <f t="shared" ca="1" si="7"/>
        <v>48</v>
      </c>
    </row>
    <row r="40" spans="1:16" x14ac:dyDescent="0.3">
      <c r="A40" s="15" t="s">
        <v>105</v>
      </c>
      <c r="B40" s="16" t="s">
        <v>106</v>
      </c>
      <c r="C40" s="16" t="s">
        <v>14</v>
      </c>
      <c r="D40" s="16" t="s">
        <v>22</v>
      </c>
      <c r="E40" s="17">
        <v>45836</v>
      </c>
      <c r="F40" s="17">
        <v>45836</v>
      </c>
      <c r="G40" s="17">
        <v>46086</v>
      </c>
      <c r="H40" s="16">
        <v>12000</v>
      </c>
      <c r="I40" s="16" t="s">
        <v>23</v>
      </c>
      <c r="J40" s="16" t="s">
        <v>17</v>
      </c>
      <c r="K40" s="16" t="s">
        <v>31</v>
      </c>
      <c r="L40" s="16">
        <v>12000</v>
      </c>
      <c r="M40" s="16" t="str">
        <f t="shared" si="4"/>
        <v>Medium</v>
      </c>
      <c r="N40" s="16">
        <f t="shared" si="5"/>
        <v>250</v>
      </c>
      <c r="O40" s="16">
        <f t="shared" si="6"/>
        <v>0</v>
      </c>
      <c r="P40" s="16">
        <f t="shared" ca="1" si="7"/>
        <v>96</v>
      </c>
    </row>
    <row r="41" spans="1:16" x14ac:dyDescent="0.3">
      <c r="A41" s="13" t="s">
        <v>107</v>
      </c>
      <c r="B41" s="4" t="s">
        <v>108</v>
      </c>
      <c r="C41" s="4" t="s">
        <v>14</v>
      </c>
      <c r="D41" s="4" t="s">
        <v>30</v>
      </c>
      <c r="E41" s="14">
        <v>45887</v>
      </c>
      <c r="F41" s="14">
        <v>45887</v>
      </c>
      <c r="G41" s="14">
        <v>46079</v>
      </c>
      <c r="H41" s="4">
        <v>8000</v>
      </c>
      <c r="I41" s="4" t="s">
        <v>16</v>
      </c>
      <c r="J41" s="4" t="s">
        <v>17</v>
      </c>
      <c r="K41" s="4" t="s">
        <v>68</v>
      </c>
      <c r="L41" s="4">
        <v>8000</v>
      </c>
      <c r="M41" s="4" t="str">
        <f t="shared" si="4"/>
        <v>Low</v>
      </c>
      <c r="N41" s="4">
        <f t="shared" si="5"/>
        <v>192</v>
      </c>
      <c r="O41" s="4">
        <f t="shared" si="6"/>
        <v>1</v>
      </c>
      <c r="P41" s="4">
        <f t="shared" ca="1" si="7"/>
        <v>103</v>
      </c>
    </row>
    <row r="42" spans="1:16" x14ac:dyDescent="0.3">
      <c r="A42" s="15" t="s">
        <v>109</v>
      </c>
      <c r="B42" s="16" t="s">
        <v>110</v>
      </c>
      <c r="C42" s="16" t="s">
        <v>29</v>
      </c>
      <c r="D42" s="16" t="s">
        <v>22</v>
      </c>
      <c r="E42" s="17">
        <v>46011</v>
      </c>
      <c r="F42" s="17">
        <v>46011</v>
      </c>
      <c r="G42" s="17">
        <v>46280</v>
      </c>
      <c r="H42" s="16">
        <v>12000</v>
      </c>
      <c r="I42" s="16" t="s">
        <v>23</v>
      </c>
      <c r="J42" s="16" t="s">
        <v>35</v>
      </c>
      <c r="K42" s="16" t="s">
        <v>68</v>
      </c>
      <c r="L42" s="16">
        <v>12000</v>
      </c>
      <c r="M42" s="16" t="str">
        <f t="shared" si="4"/>
        <v>Medium</v>
      </c>
      <c r="N42" s="16">
        <f t="shared" si="5"/>
        <v>269</v>
      </c>
      <c r="O42" s="16">
        <f t="shared" si="6"/>
        <v>0</v>
      </c>
      <c r="P42" s="16">
        <f t="shared" ca="1" si="7"/>
        <v>0</v>
      </c>
    </row>
    <row r="43" spans="1:16" x14ac:dyDescent="0.3">
      <c r="A43" s="13" t="s">
        <v>111</v>
      </c>
      <c r="B43" s="4" t="s">
        <v>112</v>
      </c>
      <c r="C43" s="4" t="s">
        <v>21</v>
      </c>
      <c r="D43" s="4" t="s">
        <v>45</v>
      </c>
      <c r="E43" s="14">
        <v>46101</v>
      </c>
      <c r="F43" s="14">
        <v>46101</v>
      </c>
      <c r="G43" s="14">
        <v>46252</v>
      </c>
      <c r="H43" s="4">
        <v>12000</v>
      </c>
      <c r="I43" s="4" t="s">
        <v>16</v>
      </c>
      <c r="J43" s="4" t="s">
        <v>35</v>
      </c>
      <c r="K43" s="4" t="s">
        <v>68</v>
      </c>
      <c r="L43" s="4">
        <v>12000</v>
      </c>
      <c r="M43" s="4" t="str">
        <f t="shared" si="4"/>
        <v>Medium</v>
      </c>
      <c r="N43" s="4">
        <f t="shared" si="5"/>
        <v>151</v>
      </c>
      <c r="O43" s="4">
        <f t="shared" si="6"/>
        <v>1</v>
      </c>
      <c r="P43" s="4">
        <f t="shared" ca="1" si="7"/>
        <v>0</v>
      </c>
    </row>
    <row r="44" spans="1:16" x14ac:dyDescent="0.3">
      <c r="A44" s="15" t="s">
        <v>113</v>
      </c>
      <c r="B44" s="16" t="s">
        <v>114</v>
      </c>
      <c r="C44" s="16" t="s">
        <v>38</v>
      </c>
      <c r="D44" s="16" t="s">
        <v>30</v>
      </c>
      <c r="E44" s="17">
        <v>46093</v>
      </c>
      <c r="F44" s="17">
        <v>46093</v>
      </c>
      <c r="G44" s="17">
        <v>46351</v>
      </c>
      <c r="H44" s="16">
        <v>15000</v>
      </c>
      <c r="I44" s="16" t="s">
        <v>23</v>
      </c>
      <c r="J44" s="16" t="s">
        <v>17</v>
      </c>
      <c r="K44" s="16" t="s">
        <v>26</v>
      </c>
      <c r="L44" s="16">
        <v>15000</v>
      </c>
      <c r="M44" s="16" t="str">
        <f t="shared" si="4"/>
        <v>High</v>
      </c>
      <c r="N44" s="16">
        <f t="shared" si="5"/>
        <v>258</v>
      </c>
      <c r="O44" s="16">
        <f t="shared" si="6"/>
        <v>0</v>
      </c>
      <c r="P44" s="16">
        <f t="shared" ca="1" si="7"/>
        <v>0</v>
      </c>
    </row>
    <row r="45" spans="1:16" x14ac:dyDescent="0.3">
      <c r="A45" s="13" t="s">
        <v>115</v>
      </c>
      <c r="B45" s="4" t="s">
        <v>116</v>
      </c>
      <c r="C45" s="4" t="s">
        <v>14</v>
      </c>
      <c r="D45" s="4" t="s">
        <v>30</v>
      </c>
      <c r="E45" s="14">
        <v>45763</v>
      </c>
      <c r="F45" s="14">
        <v>45763</v>
      </c>
      <c r="G45" s="14">
        <v>46170</v>
      </c>
      <c r="H45" s="4">
        <v>10000</v>
      </c>
      <c r="I45" s="4" t="s">
        <v>16</v>
      </c>
      <c r="J45" s="4" t="s">
        <v>17</v>
      </c>
      <c r="K45" s="4" t="s">
        <v>31</v>
      </c>
      <c r="L45" s="4">
        <v>10000</v>
      </c>
      <c r="M45" s="4" t="str">
        <f t="shared" si="4"/>
        <v>Medium</v>
      </c>
      <c r="N45" s="4">
        <f t="shared" si="5"/>
        <v>407</v>
      </c>
      <c r="O45" s="4">
        <f t="shared" si="6"/>
        <v>1</v>
      </c>
      <c r="P45" s="4">
        <f t="shared" ca="1" si="7"/>
        <v>12</v>
      </c>
    </row>
    <row r="46" spans="1:16" x14ac:dyDescent="0.3">
      <c r="A46" s="15" t="s">
        <v>117</v>
      </c>
      <c r="B46" s="16" t="s">
        <v>118</v>
      </c>
      <c r="C46" s="16" t="s">
        <v>14</v>
      </c>
      <c r="D46" s="16" t="s">
        <v>22</v>
      </c>
      <c r="E46" s="17">
        <v>45892</v>
      </c>
      <c r="F46" s="17">
        <v>45892</v>
      </c>
      <c r="G46" s="17">
        <v>46157</v>
      </c>
      <c r="H46" s="16">
        <v>8000</v>
      </c>
      <c r="I46" s="16" t="s">
        <v>23</v>
      </c>
      <c r="J46" s="16" t="s">
        <v>35</v>
      </c>
      <c r="K46" s="16" t="s">
        <v>26</v>
      </c>
      <c r="L46" s="16">
        <v>8000</v>
      </c>
      <c r="M46" s="16" t="str">
        <f t="shared" si="4"/>
        <v>Low</v>
      </c>
      <c r="N46" s="16">
        <f t="shared" si="5"/>
        <v>265</v>
      </c>
      <c r="O46" s="16">
        <f t="shared" si="6"/>
        <v>0</v>
      </c>
      <c r="P46" s="16">
        <f t="shared" ca="1" si="7"/>
        <v>25</v>
      </c>
    </row>
    <row r="47" spans="1:16" x14ac:dyDescent="0.3">
      <c r="A47" s="13" t="s">
        <v>119</v>
      </c>
      <c r="B47" s="4" t="s">
        <v>120</v>
      </c>
      <c r="C47" s="4" t="s">
        <v>14</v>
      </c>
      <c r="D47" s="4" t="s">
        <v>30</v>
      </c>
      <c r="E47" s="14">
        <v>45895</v>
      </c>
      <c r="F47" s="14">
        <v>45895</v>
      </c>
      <c r="G47" s="14">
        <v>46073</v>
      </c>
      <c r="H47" s="4">
        <v>8000</v>
      </c>
      <c r="I47" s="4" t="s">
        <v>16</v>
      </c>
      <c r="J47" s="4" t="s">
        <v>17</v>
      </c>
      <c r="K47" s="4" t="s">
        <v>31</v>
      </c>
      <c r="L47" s="4">
        <v>8000</v>
      </c>
      <c r="M47" s="4" t="str">
        <f t="shared" si="4"/>
        <v>Low</v>
      </c>
      <c r="N47" s="4">
        <f t="shared" si="5"/>
        <v>178</v>
      </c>
      <c r="O47" s="4">
        <f t="shared" si="6"/>
        <v>1</v>
      </c>
      <c r="P47" s="4">
        <f t="shared" ca="1" si="7"/>
        <v>109</v>
      </c>
    </row>
    <row r="48" spans="1:16" x14ac:dyDescent="0.3">
      <c r="A48" s="15" t="s">
        <v>121</v>
      </c>
      <c r="B48" s="16" t="s">
        <v>122</v>
      </c>
      <c r="C48" s="16" t="s">
        <v>14</v>
      </c>
      <c r="D48" s="16" t="s">
        <v>30</v>
      </c>
      <c r="E48" s="17">
        <v>46130</v>
      </c>
      <c r="F48" s="17">
        <v>46130</v>
      </c>
      <c r="G48" s="17">
        <v>46455</v>
      </c>
      <c r="H48" s="16">
        <v>10000</v>
      </c>
      <c r="I48" s="16" t="s">
        <v>23</v>
      </c>
      <c r="J48" s="16" t="s">
        <v>35</v>
      </c>
      <c r="K48" s="16" t="s">
        <v>18</v>
      </c>
      <c r="L48" s="16">
        <v>10000</v>
      </c>
      <c r="M48" s="16" t="str">
        <f t="shared" si="4"/>
        <v>Medium</v>
      </c>
      <c r="N48" s="16">
        <f t="shared" si="5"/>
        <v>325</v>
      </c>
      <c r="O48" s="16">
        <f t="shared" si="6"/>
        <v>0</v>
      </c>
      <c r="P48" s="16">
        <f t="shared" ca="1" si="7"/>
        <v>0</v>
      </c>
    </row>
    <row r="49" spans="1:16" x14ac:dyDescent="0.3">
      <c r="A49" s="13" t="s">
        <v>123</v>
      </c>
      <c r="B49" s="4" t="s">
        <v>124</v>
      </c>
      <c r="C49" s="4" t="s">
        <v>21</v>
      </c>
      <c r="D49" s="4" t="s">
        <v>30</v>
      </c>
      <c r="E49" s="14">
        <v>45903</v>
      </c>
      <c r="F49" s="14">
        <v>45903</v>
      </c>
      <c r="G49" s="14">
        <v>46166</v>
      </c>
      <c r="H49" s="4">
        <v>12000</v>
      </c>
      <c r="I49" s="4" t="s">
        <v>23</v>
      </c>
      <c r="J49" s="4" t="s">
        <v>17</v>
      </c>
      <c r="K49" s="4" t="s">
        <v>31</v>
      </c>
      <c r="L49" s="4">
        <v>12000</v>
      </c>
      <c r="M49" s="4" t="str">
        <f t="shared" si="4"/>
        <v>Medium</v>
      </c>
      <c r="N49" s="4">
        <f t="shared" si="5"/>
        <v>263</v>
      </c>
      <c r="O49" s="4">
        <f t="shared" si="6"/>
        <v>0</v>
      </c>
      <c r="P49" s="4">
        <f t="shared" ca="1" si="7"/>
        <v>16</v>
      </c>
    </row>
    <row r="50" spans="1:16" x14ac:dyDescent="0.3">
      <c r="A50" s="15" t="s">
        <v>125</v>
      </c>
      <c r="B50" s="16" t="s">
        <v>126</v>
      </c>
      <c r="C50" s="16" t="s">
        <v>38</v>
      </c>
      <c r="D50" s="16" t="s">
        <v>30</v>
      </c>
      <c r="E50" s="17">
        <v>45918</v>
      </c>
      <c r="F50" s="17">
        <v>45918</v>
      </c>
      <c r="G50" s="17">
        <v>46179</v>
      </c>
      <c r="H50" s="16">
        <v>8000</v>
      </c>
      <c r="I50" s="16" t="s">
        <v>23</v>
      </c>
      <c r="J50" s="16" t="s">
        <v>35</v>
      </c>
      <c r="K50" s="16" t="s">
        <v>18</v>
      </c>
      <c r="L50" s="16">
        <v>8000</v>
      </c>
      <c r="M50" s="16" t="str">
        <f t="shared" si="4"/>
        <v>Low</v>
      </c>
      <c r="N50" s="16">
        <f t="shared" si="5"/>
        <v>261</v>
      </c>
      <c r="O50" s="16">
        <f t="shared" si="6"/>
        <v>0</v>
      </c>
      <c r="P50" s="16">
        <f t="shared" ca="1" si="7"/>
        <v>3</v>
      </c>
    </row>
    <row r="51" spans="1:16" x14ac:dyDescent="0.3">
      <c r="A51" s="13" t="s">
        <v>127</v>
      </c>
      <c r="B51" s="4" t="s">
        <v>128</v>
      </c>
      <c r="C51" s="4" t="s">
        <v>21</v>
      </c>
      <c r="D51" s="4" t="s">
        <v>30</v>
      </c>
      <c r="E51" s="14">
        <v>46153</v>
      </c>
      <c r="F51" s="14">
        <v>46152</v>
      </c>
      <c r="G51" s="14">
        <v>46342</v>
      </c>
      <c r="H51" s="4">
        <v>15000</v>
      </c>
      <c r="I51" s="4" t="s">
        <v>23</v>
      </c>
      <c r="J51" s="4" t="s">
        <v>17</v>
      </c>
      <c r="K51" s="4" t="s">
        <v>31</v>
      </c>
      <c r="L51" s="4">
        <v>15000</v>
      </c>
      <c r="M51" s="4" t="str">
        <f t="shared" si="4"/>
        <v>High</v>
      </c>
      <c r="N51" s="4">
        <f t="shared" si="5"/>
        <v>189</v>
      </c>
      <c r="O51" s="4">
        <f t="shared" si="6"/>
        <v>0</v>
      </c>
      <c r="P51" s="4">
        <f t="shared" ca="1" si="7"/>
        <v>0</v>
      </c>
    </row>
    <row r="52" spans="1:16" x14ac:dyDescent="0.3">
      <c r="A52" s="15" t="s">
        <v>129</v>
      </c>
      <c r="B52" s="16" t="s">
        <v>130</v>
      </c>
      <c r="C52" s="16" t="s">
        <v>29</v>
      </c>
      <c r="D52" s="16" t="s">
        <v>22</v>
      </c>
      <c r="E52" s="17">
        <v>45876</v>
      </c>
      <c r="F52" s="17">
        <v>45876</v>
      </c>
      <c r="G52" s="17">
        <v>46196</v>
      </c>
      <c r="H52" s="16">
        <v>15000</v>
      </c>
      <c r="I52" s="16" t="s">
        <v>23</v>
      </c>
      <c r="J52" s="16" t="s">
        <v>17</v>
      </c>
      <c r="K52" s="16" t="s">
        <v>26</v>
      </c>
      <c r="L52" s="16">
        <v>15000</v>
      </c>
      <c r="M52" s="16" t="str">
        <f t="shared" si="4"/>
        <v>High</v>
      </c>
      <c r="N52" s="16">
        <f t="shared" si="5"/>
        <v>320</v>
      </c>
      <c r="O52" s="16">
        <f t="shared" si="6"/>
        <v>0</v>
      </c>
      <c r="P52" s="16">
        <f t="shared" ca="1" si="7"/>
        <v>0</v>
      </c>
    </row>
    <row r="53" spans="1:16" x14ac:dyDescent="0.3">
      <c r="A53" s="13" t="s">
        <v>131</v>
      </c>
      <c r="B53" s="4" t="s">
        <v>132</v>
      </c>
      <c r="C53" s="4" t="s">
        <v>21</v>
      </c>
      <c r="D53" s="4" t="s">
        <v>30</v>
      </c>
      <c r="E53" s="14">
        <v>46002</v>
      </c>
      <c r="F53" s="14">
        <v>46002</v>
      </c>
      <c r="G53" s="14">
        <v>46335</v>
      </c>
      <c r="H53" s="4">
        <v>10000</v>
      </c>
      <c r="I53" s="4" t="s">
        <v>16</v>
      </c>
      <c r="J53" s="4" t="s">
        <v>17</v>
      </c>
      <c r="K53" s="4" t="s">
        <v>31</v>
      </c>
      <c r="L53" s="4">
        <v>10000</v>
      </c>
      <c r="M53" s="4" t="str">
        <f t="shared" si="4"/>
        <v>Medium</v>
      </c>
      <c r="N53" s="4">
        <f t="shared" si="5"/>
        <v>333</v>
      </c>
      <c r="O53" s="4">
        <f t="shared" si="6"/>
        <v>1</v>
      </c>
      <c r="P53" s="4">
        <f t="shared" ca="1" si="7"/>
        <v>0</v>
      </c>
    </row>
    <row r="54" spans="1:16" x14ac:dyDescent="0.3">
      <c r="A54" s="15" t="s">
        <v>133</v>
      </c>
      <c r="B54" s="16" t="s">
        <v>134</v>
      </c>
      <c r="C54" s="16" t="s">
        <v>29</v>
      </c>
      <c r="D54" s="16" t="s">
        <v>30</v>
      </c>
      <c r="E54" s="17">
        <v>45836</v>
      </c>
      <c r="F54" s="17">
        <v>45836</v>
      </c>
      <c r="G54" s="17">
        <v>46009</v>
      </c>
      <c r="H54" s="16">
        <v>10000</v>
      </c>
      <c r="I54" s="16" t="s">
        <v>16</v>
      </c>
      <c r="J54" s="16" t="s">
        <v>17</v>
      </c>
      <c r="K54" s="16" t="s">
        <v>18</v>
      </c>
      <c r="L54" s="16">
        <v>10000</v>
      </c>
      <c r="M54" s="16" t="str">
        <f t="shared" si="4"/>
        <v>Medium</v>
      </c>
      <c r="N54" s="16">
        <f t="shared" si="5"/>
        <v>173</v>
      </c>
      <c r="O54" s="16">
        <f t="shared" si="6"/>
        <v>1</v>
      </c>
      <c r="P54" s="16">
        <f t="shared" ca="1" si="7"/>
        <v>173</v>
      </c>
    </row>
    <row r="55" spans="1:16" x14ac:dyDescent="0.3">
      <c r="A55" s="13" t="s">
        <v>135</v>
      </c>
      <c r="B55" s="4" t="s">
        <v>136</v>
      </c>
      <c r="C55" s="4" t="s">
        <v>21</v>
      </c>
      <c r="D55" s="4" t="s">
        <v>30</v>
      </c>
      <c r="E55" s="14">
        <v>46073</v>
      </c>
      <c r="F55" s="14">
        <v>46073</v>
      </c>
      <c r="G55" s="14">
        <v>46424</v>
      </c>
      <c r="H55" s="4">
        <v>8000</v>
      </c>
      <c r="I55" s="4" t="s">
        <v>16</v>
      </c>
      <c r="J55" s="4" t="s">
        <v>35</v>
      </c>
      <c r="K55" s="4" t="s">
        <v>26</v>
      </c>
      <c r="L55" s="4">
        <v>8000</v>
      </c>
      <c r="M55" s="4" t="str">
        <f t="shared" si="4"/>
        <v>Low</v>
      </c>
      <c r="N55" s="4">
        <f t="shared" si="5"/>
        <v>351</v>
      </c>
      <c r="O55" s="4">
        <f t="shared" si="6"/>
        <v>1</v>
      </c>
      <c r="P55" s="4">
        <f t="shared" ca="1" si="7"/>
        <v>0</v>
      </c>
    </row>
    <row r="56" spans="1:16" x14ac:dyDescent="0.3">
      <c r="A56" s="15" t="s">
        <v>137</v>
      </c>
      <c r="B56" s="16" t="s">
        <v>138</v>
      </c>
      <c r="C56" s="16" t="s">
        <v>38</v>
      </c>
      <c r="D56" s="16" t="s">
        <v>30</v>
      </c>
      <c r="E56" s="17">
        <v>46044</v>
      </c>
      <c r="F56" s="17">
        <v>46044</v>
      </c>
      <c r="G56" s="17">
        <v>46319</v>
      </c>
      <c r="H56" s="16">
        <v>8000</v>
      </c>
      <c r="I56" s="16" t="s">
        <v>16</v>
      </c>
      <c r="J56" s="16" t="s">
        <v>17</v>
      </c>
      <c r="K56" s="16" t="s">
        <v>68</v>
      </c>
      <c r="L56" s="16">
        <v>8000</v>
      </c>
      <c r="M56" s="16" t="str">
        <f t="shared" si="4"/>
        <v>Low</v>
      </c>
      <c r="N56" s="16">
        <f t="shared" si="5"/>
        <v>275</v>
      </c>
      <c r="O56" s="16">
        <f t="shared" si="6"/>
        <v>1</v>
      </c>
      <c r="P56" s="16">
        <f t="shared" ca="1" si="7"/>
        <v>0</v>
      </c>
    </row>
    <row r="57" spans="1:16" x14ac:dyDescent="0.3">
      <c r="A57" s="13" t="s">
        <v>139</v>
      </c>
      <c r="B57" s="4" t="s">
        <v>140</v>
      </c>
      <c r="C57" s="4" t="s">
        <v>21</v>
      </c>
      <c r="D57" s="4" t="s">
        <v>30</v>
      </c>
      <c r="E57" s="14">
        <v>45938</v>
      </c>
      <c r="F57" s="14">
        <v>45938</v>
      </c>
      <c r="G57" s="14">
        <v>46111</v>
      </c>
      <c r="H57" s="4">
        <v>12000</v>
      </c>
      <c r="I57" s="4" t="s">
        <v>16</v>
      </c>
      <c r="J57" s="4" t="s">
        <v>17</v>
      </c>
      <c r="K57" s="4" t="s">
        <v>68</v>
      </c>
      <c r="L57" s="4">
        <v>12000</v>
      </c>
      <c r="M57" s="4" t="str">
        <f t="shared" si="4"/>
        <v>Medium</v>
      </c>
      <c r="N57" s="4">
        <f t="shared" si="5"/>
        <v>173</v>
      </c>
      <c r="O57" s="4">
        <f t="shared" si="6"/>
        <v>1</v>
      </c>
      <c r="P57" s="4">
        <f t="shared" ca="1" si="7"/>
        <v>71</v>
      </c>
    </row>
    <row r="58" spans="1:16" x14ac:dyDescent="0.3">
      <c r="A58" s="15" t="s">
        <v>141</v>
      </c>
      <c r="B58" s="16" t="s">
        <v>142</v>
      </c>
      <c r="C58" s="16" t="s">
        <v>38</v>
      </c>
      <c r="D58" s="16" t="s">
        <v>22</v>
      </c>
      <c r="E58" s="17">
        <v>45980</v>
      </c>
      <c r="F58" s="17">
        <v>45980</v>
      </c>
      <c r="G58" s="17">
        <v>46076</v>
      </c>
      <c r="H58" s="16">
        <v>12000</v>
      </c>
      <c r="I58" s="16" t="s">
        <v>16</v>
      </c>
      <c r="J58" s="16" t="s">
        <v>17</v>
      </c>
      <c r="K58" s="16" t="s">
        <v>26</v>
      </c>
      <c r="L58" s="16">
        <v>12000</v>
      </c>
      <c r="M58" s="16" t="str">
        <f t="shared" si="4"/>
        <v>Medium</v>
      </c>
      <c r="N58" s="16">
        <f t="shared" si="5"/>
        <v>96</v>
      </c>
      <c r="O58" s="16">
        <f t="shared" si="6"/>
        <v>1</v>
      </c>
      <c r="P58" s="16">
        <f t="shared" ca="1" si="7"/>
        <v>106</v>
      </c>
    </row>
    <row r="59" spans="1:16" x14ac:dyDescent="0.3">
      <c r="A59" s="13" t="s">
        <v>143</v>
      </c>
      <c r="B59" s="4" t="s">
        <v>144</v>
      </c>
      <c r="C59" s="4" t="s">
        <v>21</v>
      </c>
      <c r="D59" s="4" t="s">
        <v>30</v>
      </c>
      <c r="E59" s="14">
        <v>46127</v>
      </c>
      <c r="F59" s="14">
        <v>46127</v>
      </c>
      <c r="G59" s="14">
        <v>46237</v>
      </c>
      <c r="H59" s="4">
        <v>15000</v>
      </c>
      <c r="I59" s="4" t="s">
        <v>16</v>
      </c>
      <c r="J59" s="4" t="s">
        <v>17</v>
      </c>
      <c r="K59" s="4" t="s">
        <v>18</v>
      </c>
      <c r="L59" s="4">
        <v>15000</v>
      </c>
      <c r="M59" s="4" t="str">
        <f t="shared" si="4"/>
        <v>High</v>
      </c>
      <c r="N59" s="4">
        <f t="shared" si="5"/>
        <v>110</v>
      </c>
      <c r="O59" s="4">
        <f t="shared" si="6"/>
        <v>1</v>
      </c>
      <c r="P59" s="4">
        <f t="shared" ca="1" si="7"/>
        <v>0</v>
      </c>
    </row>
    <row r="60" spans="1:16" x14ac:dyDescent="0.3">
      <c r="A60" s="15" t="s">
        <v>145</v>
      </c>
      <c r="B60" s="16" t="s">
        <v>146</v>
      </c>
      <c r="C60" s="16" t="s">
        <v>29</v>
      </c>
      <c r="D60" s="16" t="s">
        <v>22</v>
      </c>
      <c r="E60" s="17">
        <v>45759</v>
      </c>
      <c r="F60" s="17">
        <v>45759</v>
      </c>
      <c r="G60" s="17">
        <v>46143</v>
      </c>
      <c r="H60" s="16">
        <v>15000</v>
      </c>
      <c r="I60" s="16" t="s">
        <v>16</v>
      </c>
      <c r="J60" s="16" t="s">
        <v>35</v>
      </c>
      <c r="K60" s="16" t="s">
        <v>68</v>
      </c>
      <c r="L60" s="16">
        <v>15000</v>
      </c>
      <c r="M60" s="16" t="str">
        <f t="shared" si="4"/>
        <v>High</v>
      </c>
      <c r="N60" s="16">
        <f t="shared" si="5"/>
        <v>384</v>
      </c>
      <c r="O60" s="16">
        <f t="shared" si="6"/>
        <v>1</v>
      </c>
      <c r="P60" s="16">
        <f t="shared" ca="1" si="7"/>
        <v>39</v>
      </c>
    </row>
    <row r="61" spans="1:16" x14ac:dyDescent="0.3">
      <c r="A61" s="13" t="s">
        <v>147</v>
      </c>
      <c r="B61" s="4" t="s">
        <v>148</v>
      </c>
      <c r="C61" s="4" t="s">
        <v>38</v>
      </c>
      <c r="D61" s="4" t="s">
        <v>30</v>
      </c>
      <c r="E61" s="14">
        <v>45680</v>
      </c>
      <c r="F61" s="14">
        <v>45680</v>
      </c>
      <c r="G61" s="14">
        <v>45801</v>
      </c>
      <c r="H61" s="4">
        <v>10000</v>
      </c>
      <c r="I61" s="4" t="s">
        <v>23</v>
      </c>
      <c r="J61" s="4" t="s">
        <v>17</v>
      </c>
      <c r="K61" s="4" t="s">
        <v>18</v>
      </c>
      <c r="L61" s="4">
        <v>10000</v>
      </c>
      <c r="M61" s="4" t="str">
        <f t="shared" si="4"/>
        <v>Medium</v>
      </c>
      <c r="N61" s="4">
        <f t="shared" si="5"/>
        <v>121</v>
      </c>
      <c r="O61" s="4">
        <f t="shared" si="6"/>
        <v>0</v>
      </c>
      <c r="P61" s="4">
        <f t="shared" ca="1" si="7"/>
        <v>381</v>
      </c>
    </row>
    <row r="62" spans="1:16" x14ac:dyDescent="0.3">
      <c r="A62" s="15" t="s">
        <v>149</v>
      </c>
      <c r="B62" s="16" t="s">
        <v>150</v>
      </c>
      <c r="C62" s="16" t="s">
        <v>14</v>
      </c>
      <c r="D62" s="16" t="s">
        <v>30</v>
      </c>
      <c r="E62" s="17">
        <v>45709</v>
      </c>
      <c r="F62" s="17">
        <v>45709</v>
      </c>
      <c r="G62" s="17">
        <v>45999</v>
      </c>
      <c r="H62" s="16">
        <v>10000</v>
      </c>
      <c r="I62" s="16" t="s">
        <v>16</v>
      </c>
      <c r="J62" s="16" t="s">
        <v>35</v>
      </c>
      <c r="K62" s="16" t="s">
        <v>31</v>
      </c>
      <c r="L62" s="16">
        <v>10000</v>
      </c>
      <c r="M62" s="16" t="str">
        <f t="shared" si="4"/>
        <v>Medium</v>
      </c>
      <c r="N62" s="16">
        <f t="shared" si="5"/>
        <v>290</v>
      </c>
      <c r="O62" s="16">
        <f t="shared" si="6"/>
        <v>1</v>
      </c>
      <c r="P62" s="16">
        <f t="shared" ca="1" si="7"/>
        <v>183</v>
      </c>
    </row>
    <row r="63" spans="1:16" x14ac:dyDescent="0.3">
      <c r="A63" s="13" t="s">
        <v>151</v>
      </c>
      <c r="B63" s="4" t="s">
        <v>152</v>
      </c>
      <c r="C63" s="4" t="s">
        <v>29</v>
      </c>
      <c r="D63" s="4" t="s">
        <v>22</v>
      </c>
      <c r="E63" s="14">
        <v>45810</v>
      </c>
      <c r="F63" s="14">
        <v>45810</v>
      </c>
      <c r="G63" s="14">
        <v>46074</v>
      </c>
      <c r="H63" s="4">
        <v>15000</v>
      </c>
      <c r="I63" s="4" t="s">
        <v>23</v>
      </c>
      <c r="J63" s="4" t="s">
        <v>17</v>
      </c>
      <c r="K63" s="4" t="s">
        <v>18</v>
      </c>
      <c r="L63" s="4">
        <v>15000</v>
      </c>
      <c r="M63" s="4" t="str">
        <f t="shared" si="4"/>
        <v>High</v>
      </c>
      <c r="N63" s="4">
        <f t="shared" si="5"/>
        <v>264</v>
      </c>
      <c r="O63" s="4">
        <f t="shared" si="6"/>
        <v>0</v>
      </c>
      <c r="P63" s="4">
        <f t="shared" ca="1" si="7"/>
        <v>108</v>
      </c>
    </row>
    <row r="64" spans="1:16" x14ac:dyDescent="0.3">
      <c r="A64" s="15" t="s">
        <v>153</v>
      </c>
      <c r="B64" s="16" t="s">
        <v>154</v>
      </c>
      <c r="C64" s="16" t="s">
        <v>14</v>
      </c>
      <c r="D64" s="16" t="s">
        <v>22</v>
      </c>
      <c r="E64" s="17">
        <v>45814</v>
      </c>
      <c r="F64" s="17">
        <v>45814</v>
      </c>
      <c r="G64" s="17">
        <v>46040</v>
      </c>
      <c r="H64" s="16">
        <v>10000</v>
      </c>
      <c r="I64" s="16" t="s">
        <v>16</v>
      </c>
      <c r="J64" s="16" t="s">
        <v>17</v>
      </c>
      <c r="K64" s="16" t="s">
        <v>31</v>
      </c>
      <c r="L64" s="16">
        <v>10000</v>
      </c>
      <c r="M64" s="16" t="str">
        <f t="shared" si="4"/>
        <v>Medium</v>
      </c>
      <c r="N64" s="16">
        <f t="shared" si="5"/>
        <v>226</v>
      </c>
      <c r="O64" s="16">
        <f t="shared" si="6"/>
        <v>1</v>
      </c>
      <c r="P64" s="16">
        <f t="shared" ca="1" si="7"/>
        <v>142</v>
      </c>
    </row>
    <row r="65" spans="1:16" x14ac:dyDescent="0.3">
      <c r="A65" s="13" t="s">
        <v>155</v>
      </c>
      <c r="B65" s="4" t="s">
        <v>156</v>
      </c>
      <c r="C65" s="4" t="s">
        <v>38</v>
      </c>
      <c r="D65" s="4" t="s">
        <v>30</v>
      </c>
      <c r="E65" s="14">
        <v>45920</v>
      </c>
      <c r="F65" s="14">
        <v>45920</v>
      </c>
      <c r="G65" s="14">
        <v>46128</v>
      </c>
      <c r="H65" s="4">
        <v>12000</v>
      </c>
      <c r="I65" s="4" t="s">
        <v>23</v>
      </c>
      <c r="J65" s="4" t="s">
        <v>17</v>
      </c>
      <c r="K65" s="4" t="s">
        <v>31</v>
      </c>
      <c r="L65" s="4">
        <v>12000</v>
      </c>
      <c r="M65" s="4" t="str">
        <f t="shared" si="4"/>
        <v>Medium</v>
      </c>
      <c r="N65" s="4">
        <f t="shared" si="5"/>
        <v>208</v>
      </c>
      <c r="O65" s="4">
        <f t="shared" si="6"/>
        <v>0</v>
      </c>
      <c r="P65" s="4">
        <f t="shared" ca="1" si="7"/>
        <v>54</v>
      </c>
    </row>
    <row r="66" spans="1:16" x14ac:dyDescent="0.3">
      <c r="A66" s="15" t="s">
        <v>157</v>
      </c>
      <c r="B66" s="16" t="s">
        <v>158</v>
      </c>
      <c r="C66" s="16" t="s">
        <v>21</v>
      </c>
      <c r="D66" s="16" t="s">
        <v>30</v>
      </c>
      <c r="E66" s="17">
        <v>45870</v>
      </c>
      <c r="F66" s="17">
        <v>45870</v>
      </c>
      <c r="G66" s="17">
        <v>46107</v>
      </c>
      <c r="H66" s="16">
        <v>12000</v>
      </c>
      <c r="I66" s="16" t="s">
        <v>16</v>
      </c>
      <c r="J66" s="16" t="s">
        <v>17</v>
      </c>
      <c r="K66" s="16" t="s">
        <v>26</v>
      </c>
      <c r="L66" s="16">
        <v>12000</v>
      </c>
      <c r="M66" s="16" t="str">
        <f t="shared" ref="M66:M97" si="8">IF(H66&gt;=15000,"High",IF(H66&gt;=10000,"Medium","Low"))</f>
        <v>Medium</v>
      </c>
      <c r="N66" s="16">
        <f t="shared" ref="N66:N97" si="9">G66-E66</f>
        <v>237</v>
      </c>
      <c r="O66" s="16">
        <f t="shared" ref="O66:O97" si="10">IF(I66="Occupied",1,0)</f>
        <v>1</v>
      </c>
      <c r="P66" s="16">
        <f t="shared" ref="P66:P97" ca="1" si="11">IF(G66&lt;TODAY(),TODAY()-G66,0)</f>
        <v>75</v>
      </c>
    </row>
    <row r="67" spans="1:16" x14ac:dyDescent="0.3">
      <c r="A67" s="13" t="s">
        <v>159</v>
      </c>
      <c r="B67" s="4" t="s">
        <v>160</v>
      </c>
      <c r="C67" s="4" t="s">
        <v>21</v>
      </c>
      <c r="D67" s="4" t="s">
        <v>30</v>
      </c>
      <c r="E67" s="14">
        <v>45875</v>
      </c>
      <c r="F67" s="14">
        <v>45875</v>
      </c>
      <c r="G67" s="14">
        <v>46229</v>
      </c>
      <c r="H67" s="4">
        <v>15000</v>
      </c>
      <c r="I67" s="4" t="s">
        <v>23</v>
      </c>
      <c r="J67" s="4" t="s">
        <v>17</v>
      </c>
      <c r="K67" s="4" t="s">
        <v>68</v>
      </c>
      <c r="L67" s="4">
        <v>15000</v>
      </c>
      <c r="M67" s="4" t="str">
        <f t="shared" si="8"/>
        <v>High</v>
      </c>
      <c r="N67" s="4">
        <f t="shared" si="9"/>
        <v>354</v>
      </c>
      <c r="O67" s="4">
        <f t="shared" si="10"/>
        <v>0</v>
      </c>
      <c r="P67" s="4">
        <f t="shared" ca="1" si="11"/>
        <v>0</v>
      </c>
    </row>
    <row r="68" spans="1:16" x14ac:dyDescent="0.3">
      <c r="A68" s="15" t="s">
        <v>161</v>
      </c>
      <c r="B68" s="16" t="s">
        <v>162</v>
      </c>
      <c r="C68" s="16" t="s">
        <v>38</v>
      </c>
      <c r="D68" s="16" t="s">
        <v>30</v>
      </c>
      <c r="E68" s="17">
        <v>46159</v>
      </c>
      <c r="F68" s="17">
        <v>45936</v>
      </c>
      <c r="G68" s="17">
        <v>46154</v>
      </c>
      <c r="H68" s="16">
        <v>10000</v>
      </c>
      <c r="I68" s="16" t="s">
        <v>16</v>
      </c>
      <c r="J68" s="16" t="s">
        <v>17</v>
      </c>
      <c r="K68" s="16" t="s">
        <v>18</v>
      </c>
      <c r="L68" s="16">
        <v>10000</v>
      </c>
      <c r="M68" s="16" t="str">
        <f t="shared" si="8"/>
        <v>Medium</v>
      </c>
      <c r="N68" s="16">
        <f t="shared" si="9"/>
        <v>-5</v>
      </c>
      <c r="O68" s="16">
        <f t="shared" si="10"/>
        <v>1</v>
      </c>
      <c r="P68" s="16">
        <f t="shared" ca="1" si="11"/>
        <v>28</v>
      </c>
    </row>
    <row r="69" spans="1:16" x14ac:dyDescent="0.3">
      <c r="A69" s="13" t="s">
        <v>163</v>
      </c>
      <c r="B69" s="4" t="s">
        <v>164</v>
      </c>
      <c r="C69" s="4" t="s">
        <v>38</v>
      </c>
      <c r="D69" s="4" t="s">
        <v>22</v>
      </c>
      <c r="E69" s="14">
        <v>46041</v>
      </c>
      <c r="F69" s="14">
        <v>46041</v>
      </c>
      <c r="G69" s="14">
        <v>46304</v>
      </c>
      <c r="H69" s="4">
        <v>12000</v>
      </c>
      <c r="I69" s="4" t="s">
        <v>16</v>
      </c>
      <c r="J69" s="4" t="s">
        <v>17</v>
      </c>
      <c r="K69" s="4" t="s">
        <v>26</v>
      </c>
      <c r="L69" s="4">
        <v>12000</v>
      </c>
      <c r="M69" s="4" t="str">
        <f t="shared" si="8"/>
        <v>Medium</v>
      </c>
      <c r="N69" s="4">
        <f t="shared" si="9"/>
        <v>263</v>
      </c>
      <c r="O69" s="4">
        <f t="shared" si="10"/>
        <v>1</v>
      </c>
      <c r="P69" s="4">
        <f t="shared" ca="1" si="11"/>
        <v>0</v>
      </c>
    </row>
    <row r="70" spans="1:16" x14ac:dyDescent="0.3">
      <c r="A70" s="15" t="s">
        <v>165</v>
      </c>
      <c r="B70" s="16" t="s">
        <v>166</v>
      </c>
      <c r="C70" s="16" t="s">
        <v>38</v>
      </c>
      <c r="D70" s="16" t="s">
        <v>30</v>
      </c>
      <c r="E70" s="17">
        <v>46055</v>
      </c>
      <c r="F70" s="17">
        <v>46055</v>
      </c>
      <c r="G70" s="17">
        <v>46200</v>
      </c>
      <c r="H70" s="16">
        <v>8000</v>
      </c>
      <c r="I70" s="16" t="s">
        <v>16</v>
      </c>
      <c r="J70" s="16" t="s">
        <v>17</v>
      </c>
      <c r="K70" s="16" t="s">
        <v>31</v>
      </c>
      <c r="L70" s="16">
        <v>8000</v>
      </c>
      <c r="M70" s="16" t="str">
        <f t="shared" si="8"/>
        <v>Low</v>
      </c>
      <c r="N70" s="16">
        <f t="shared" si="9"/>
        <v>145</v>
      </c>
      <c r="O70" s="16">
        <f t="shared" si="10"/>
        <v>1</v>
      </c>
      <c r="P70" s="16">
        <f t="shared" ca="1" si="11"/>
        <v>0</v>
      </c>
    </row>
    <row r="71" spans="1:16" x14ac:dyDescent="0.3">
      <c r="A71" s="13" t="s">
        <v>167</v>
      </c>
      <c r="B71" s="4" t="s">
        <v>168</v>
      </c>
      <c r="C71" s="4" t="s">
        <v>29</v>
      </c>
      <c r="D71" s="4" t="s">
        <v>30</v>
      </c>
      <c r="E71" s="14">
        <v>46150</v>
      </c>
      <c r="F71" s="14">
        <v>46150</v>
      </c>
      <c r="G71" s="14">
        <v>46247</v>
      </c>
      <c r="H71" s="4">
        <v>10000</v>
      </c>
      <c r="I71" s="4" t="s">
        <v>23</v>
      </c>
      <c r="J71" s="4" t="s">
        <v>35</v>
      </c>
      <c r="K71" s="4" t="s">
        <v>26</v>
      </c>
      <c r="L71" s="4">
        <v>10000</v>
      </c>
      <c r="M71" s="4" t="str">
        <f t="shared" si="8"/>
        <v>Medium</v>
      </c>
      <c r="N71" s="4">
        <f t="shared" si="9"/>
        <v>97</v>
      </c>
      <c r="O71" s="4">
        <f t="shared" si="10"/>
        <v>0</v>
      </c>
      <c r="P71" s="4">
        <f t="shared" ca="1" si="11"/>
        <v>0</v>
      </c>
    </row>
    <row r="72" spans="1:16" x14ac:dyDescent="0.3">
      <c r="A72" s="15" t="s">
        <v>169</v>
      </c>
      <c r="B72" s="16" t="s">
        <v>170</v>
      </c>
      <c r="C72" s="16" t="s">
        <v>29</v>
      </c>
      <c r="D72" s="16" t="s">
        <v>30</v>
      </c>
      <c r="E72" s="17">
        <v>46115</v>
      </c>
      <c r="F72" s="17">
        <v>46115</v>
      </c>
      <c r="G72" s="17">
        <v>46287</v>
      </c>
      <c r="H72" s="16">
        <v>12000</v>
      </c>
      <c r="I72" s="16" t="s">
        <v>16</v>
      </c>
      <c r="J72" s="16" t="s">
        <v>17</v>
      </c>
      <c r="K72" s="16" t="s">
        <v>26</v>
      </c>
      <c r="L72" s="16">
        <v>12000</v>
      </c>
      <c r="M72" s="16" t="str">
        <f t="shared" si="8"/>
        <v>Medium</v>
      </c>
      <c r="N72" s="16">
        <f t="shared" si="9"/>
        <v>172</v>
      </c>
      <c r="O72" s="16">
        <f t="shared" si="10"/>
        <v>1</v>
      </c>
      <c r="P72" s="16">
        <f t="shared" ca="1" si="11"/>
        <v>0</v>
      </c>
    </row>
    <row r="73" spans="1:16" x14ac:dyDescent="0.3">
      <c r="A73" s="13" t="s">
        <v>171</v>
      </c>
      <c r="B73" s="4" t="s">
        <v>172</v>
      </c>
      <c r="C73" s="4" t="s">
        <v>29</v>
      </c>
      <c r="D73" s="4" t="s">
        <v>30</v>
      </c>
      <c r="E73" s="14">
        <v>46069</v>
      </c>
      <c r="F73" s="14">
        <v>46069</v>
      </c>
      <c r="G73" s="14">
        <v>46278</v>
      </c>
      <c r="H73" s="4">
        <v>18000</v>
      </c>
      <c r="I73" s="4" t="s">
        <v>16</v>
      </c>
      <c r="J73" s="4" t="s">
        <v>17</v>
      </c>
      <c r="K73" s="4" t="s">
        <v>18</v>
      </c>
      <c r="L73" s="4">
        <v>18000</v>
      </c>
      <c r="M73" s="4" t="str">
        <f t="shared" si="8"/>
        <v>High</v>
      </c>
      <c r="N73" s="4">
        <f t="shared" si="9"/>
        <v>209</v>
      </c>
      <c r="O73" s="4">
        <f t="shared" si="10"/>
        <v>1</v>
      </c>
      <c r="P73" s="4">
        <f t="shared" ca="1" si="11"/>
        <v>0</v>
      </c>
    </row>
    <row r="74" spans="1:16" x14ac:dyDescent="0.3">
      <c r="A74" s="15" t="s">
        <v>173</v>
      </c>
      <c r="B74" s="16" t="s">
        <v>174</v>
      </c>
      <c r="C74" s="16" t="s">
        <v>14</v>
      </c>
      <c r="D74" s="16" t="s">
        <v>22</v>
      </c>
      <c r="E74" s="17">
        <v>45995</v>
      </c>
      <c r="F74" s="17">
        <v>45995</v>
      </c>
      <c r="G74" s="17">
        <v>46233</v>
      </c>
      <c r="H74" s="16">
        <v>15000</v>
      </c>
      <c r="I74" s="16" t="s">
        <v>23</v>
      </c>
      <c r="J74" s="16" t="s">
        <v>35</v>
      </c>
      <c r="K74" s="16" t="s">
        <v>68</v>
      </c>
      <c r="L74" s="16">
        <v>15000</v>
      </c>
      <c r="M74" s="16" t="str">
        <f t="shared" si="8"/>
        <v>High</v>
      </c>
      <c r="N74" s="16">
        <f t="shared" si="9"/>
        <v>238</v>
      </c>
      <c r="O74" s="16">
        <f t="shared" si="10"/>
        <v>0</v>
      </c>
      <c r="P74" s="16">
        <f t="shared" ca="1" si="11"/>
        <v>0</v>
      </c>
    </row>
    <row r="75" spans="1:16" x14ac:dyDescent="0.3">
      <c r="A75" s="13" t="s">
        <v>175</v>
      </c>
      <c r="B75" s="4" t="s">
        <v>176</v>
      </c>
      <c r="C75" s="4" t="s">
        <v>38</v>
      </c>
      <c r="D75" s="4" t="s">
        <v>30</v>
      </c>
      <c r="E75" s="14">
        <v>46172</v>
      </c>
      <c r="F75" s="14">
        <v>46172</v>
      </c>
      <c r="G75" s="14">
        <v>46135</v>
      </c>
      <c r="H75" s="4">
        <v>12000</v>
      </c>
      <c r="I75" s="4" t="s">
        <v>16</v>
      </c>
      <c r="J75" s="4" t="s">
        <v>17</v>
      </c>
      <c r="K75" s="4" t="s">
        <v>31</v>
      </c>
      <c r="L75" s="4">
        <v>12000</v>
      </c>
      <c r="M75" s="4" t="str">
        <f t="shared" si="8"/>
        <v>Medium</v>
      </c>
      <c r="N75" s="4">
        <f t="shared" si="9"/>
        <v>-37</v>
      </c>
      <c r="O75" s="4">
        <f t="shared" si="10"/>
        <v>1</v>
      </c>
      <c r="P75" s="4">
        <f t="shared" ca="1" si="11"/>
        <v>47</v>
      </c>
    </row>
    <row r="76" spans="1:16" x14ac:dyDescent="0.3">
      <c r="A76" s="15" t="s">
        <v>177</v>
      </c>
      <c r="B76" s="16" t="s">
        <v>178</v>
      </c>
      <c r="C76" s="16" t="s">
        <v>38</v>
      </c>
      <c r="D76" s="16" t="s">
        <v>22</v>
      </c>
      <c r="E76" s="17">
        <v>46064</v>
      </c>
      <c r="F76" s="17">
        <v>46064</v>
      </c>
      <c r="G76" s="17">
        <v>46240</v>
      </c>
      <c r="H76" s="16">
        <v>12000</v>
      </c>
      <c r="I76" s="16" t="s">
        <v>16</v>
      </c>
      <c r="J76" s="16" t="s">
        <v>17</v>
      </c>
      <c r="K76" s="16" t="s">
        <v>31</v>
      </c>
      <c r="L76" s="16">
        <v>12000</v>
      </c>
      <c r="M76" s="16" t="str">
        <f t="shared" si="8"/>
        <v>Medium</v>
      </c>
      <c r="N76" s="16">
        <f t="shared" si="9"/>
        <v>176</v>
      </c>
      <c r="O76" s="16">
        <f t="shared" si="10"/>
        <v>1</v>
      </c>
      <c r="P76" s="16">
        <f t="shared" ca="1" si="11"/>
        <v>0</v>
      </c>
    </row>
    <row r="77" spans="1:16" x14ac:dyDescent="0.3">
      <c r="A77" s="13" t="s">
        <v>179</v>
      </c>
      <c r="B77" s="4" t="s">
        <v>180</v>
      </c>
      <c r="C77" s="4" t="s">
        <v>29</v>
      </c>
      <c r="D77" s="4" t="s">
        <v>22</v>
      </c>
      <c r="E77" s="14">
        <v>46116</v>
      </c>
      <c r="F77" s="14">
        <v>46116</v>
      </c>
      <c r="G77" s="14">
        <v>46237</v>
      </c>
      <c r="H77" s="4">
        <v>15000</v>
      </c>
      <c r="I77" s="4" t="s">
        <v>16</v>
      </c>
      <c r="J77" s="4" t="s">
        <v>35</v>
      </c>
      <c r="K77" s="4" t="s">
        <v>68</v>
      </c>
      <c r="L77" s="4">
        <v>15000</v>
      </c>
      <c r="M77" s="4" t="str">
        <f t="shared" si="8"/>
        <v>High</v>
      </c>
      <c r="N77" s="4">
        <f t="shared" si="9"/>
        <v>121</v>
      </c>
      <c r="O77" s="4">
        <f t="shared" si="10"/>
        <v>1</v>
      </c>
      <c r="P77" s="4">
        <f t="shared" ca="1" si="11"/>
        <v>0</v>
      </c>
    </row>
    <row r="78" spans="1:16" x14ac:dyDescent="0.3">
      <c r="A78" s="15" t="s">
        <v>181</v>
      </c>
      <c r="B78" s="16" t="s">
        <v>182</v>
      </c>
      <c r="C78" s="16" t="s">
        <v>21</v>
      </c>
      <c r="D78" s="16" t="s">
        <v>30</v>
      </c>
      <c r="E78" s="17">
        <v>46135</v>
      </c>
      <c r="F78" s="17">
        <v>46135</v>
      </c>
      <c r="G78" s="17">
        <v>46398</v>
      </c>
      <c r="H78" s="16">
        <v>12000</v>
      </c>
      <c r="I78" s="16" t="s">
        <v>16</v>
      </c>
      <c r="J78" s="16" t="s">
        <v>17</v>
      </c>
      <c r="K78" s="16" t="s">
        <v>31</v>
      </c>
      <c r="L78" s="16">
        <v>12000</v>
      </c>
      <c r="M78" s="16" t="str">
        <f t="shared" si="8"/>
        <v>Medium</v>
      </c>
      <c r="N78" s="16">
        <f t="shared" si="9"/>
        <v>263</v>
      </c>
      <c r="O78" s="16">
        <f t="shared" si="10"/>
        <v>1</v>
      </c>
      <c r="P78" s="16">
        <f t="shared" ca="1" si="11"/>
        <v>0</v>
      </c>
    </row>
    <row r="79" spans="1:16" x14ac:dyDescent="0.3">
      <c r="A79" s="13" t="s">
        <v>183</v>
      </c>
      <c r="B79" s="4" t="s">
        <v>184</v>
      </c>
      <c r="C79" s="4" t="s">
        <v>21</v>
      </c>
      <c r="D79" s="4" t="s">
        <v>30</v>
      </c>
      <c r="E79" s="14">
        <v>45779</v>
      </c>
      <c r="F79" s="14">
        <v>45779</v>
      </c>
      <c r="G79" s="14">
        <v>46126</v>
      </c>
      <c r="H79" s="4">
        <v>15000</v>
      </c>
      <c r="I79" s="4" t="s">
        <v>16</v>
      </c>
      <c r="J79" s="4" t="s">
        <v>17</v>
      </c>
      <c r="K79" s="4" t="s">
        <v>18</v>
      </c>
      <c r="L79" s="4">
        <v>15000</v>
      </c>
      <c r="M79" s="4" t="str">
        <f t="shared" si="8"/>
        <v>High</v>
      </c>
      <c r="N79" s="4">
        <f t="shared" si="9"/>
        <v>347</v>
      </c>
      <c r="O79" s="4">
        <f t="shared" si="10"/>
        <v>1</v>
      </c>
      <c r="P79" s="4">
        <f t="shared" ca="1" si="11"/>
        <v>56</v>
      </c>
    </row>
    <row r="80" spans="1:16" x14ac:dyDescent="0.3">
      <c r="A80" s="15" t="s">
        <v>185</v>
      </c>
      <c r="B80" s="16" t="s">
        <v>186</v>
      </c>
      <c r="C80" s="16" t="s">
        <v>21</v>
      </c>
      <c r="D80" s="16" t="s">
        <v>30</v>
      </c>
      <c r="E80" s="17">
        <v>45929</v>
      </c>
      <c r="F80" s="17">
        <v>45929</v>
      </c>
      <c r="G80" s="17">
        <v>46238</v>
      </c>
      <c r="H80" s="16">
        <v>12000</v>
      </c>
      <c r="I80" s="16" t="s">
        <v>16</v>
      </c>
      <c r="J80" s="16" t="s">
        <v>35</v>
      </c>
      <c r="K80" s="16" t="s">
        <v>26</v>
      </c>
      <c r="L80" s="16">
        <v>12000</v>
      </c>
      <c r="M80" s="16" t="str">
        <f t="shared" si="8"/>
        <v>Medium</v>
      </c>
      <c r="N80" s="16">
        <f t="shared" si="9"/>
        <v>309</v>
      </c>
      <c r="O80" s="16">
        <f t="shared" si="10"/>
        <v>1</v>
      </c>
      <c r="P80" s="16">
        <f t="shared" ca="1" si="11"/>
        <v>0</v>
      </c>
    </row>
    <row r="81" spans="1:16" x14ac:dyDescent="0.3">
      <c r="A81" s="13" t="s">
        <v>187</v>
      </c>
      <c r="B81" s="4" t="s">
        <v>188</v>
      </c>
      <c r="C81" s="4" t="s">
        <v>14</v>
      </c>
      <c r="D81" s="4" t="s">
        <v>45</v>
      </c>
      <c r="E81" s="14">
        <v>45783</v>
      </c>
      <c r="F81" s="14">
        <v>45783</v>
      </c>
      <c r="G81" s="14">
        <v>46009</v>
      </c>
      <c r="H81" s="4">
        <v>12000</v>
      </c>
      <c r="I81" s="4" t="s">
        <v>23</v>
      </c>
      <c r="J81" s="4" t="s">
        <v>35</v>
      </c>
      <c r="K81" s="4" t="s">
        <v>26</v>
      </c>
      <c r="L81" s="4">
        <v>12000</v>
      </c>
      <c r="M81" s="4" t="str">
        <f t="shared" si="8"/>
        <v>Medium</v>
      </c>
      <c r="N81" s="4">
        <f t="shared" si="9"/>
        <v>226</v>
      </c>
      <c r="O81" s="4">
        <f t="shared" si="10"/>
        <v>0</v>
      </c>
      <c r="P81" s="4">
        <f t="shared" ca="1" si="11"/>
        <v>173</v>
      </c>
    </row>
    <row r="82" spans="1:16" x14ac:dyDescent="0.3">
      <c r="A82" s="15" t="s">
        <v>189</v>
      </c>
      <c r="B82" s="16" t="s">
        <v>190</v>
      </c>
      <c r="C82" s="16" t="s">
        <v>21</v>
      </c>
      <c r="D82" s="16" t="s">
        <v>45</v>
      </c>
      <c r="E82" s="17">
        <v>45790</v>
      </c>
      <c r="F82" s="17">
        <v>45790</v>
      </c>
      <c r="G82" s="17">
        <v>46027</v>
      </c>
      <c r="H82" s="16">
        <v>10000</v>
      </c>
      <c r="I82" s="16" t="s">
        <v>23</v>
      </c>
      <c r="J82" s="16" t="s">
        <v>35</v>
      </c>
      <c r="K82" s="16" t="s">
        <v>68</v>
      </c>
      <c r="L82" s="16">
        <v>10000</v>
      </c>
      <c r="M82" s="16" t="str">
        <f t="shared" si="8"/>
        <v>Medium</v>
      </c>
      <c r="N82" s="16">
        <f t="shared" si="9"/>
        <v>237</v>
      </c>
      <c r="O82" s="16">
        <f t="shared" si="10"/>
        <v>0</v>
      </c>
      <c r="P82" s="16">
        <f t="shared" ca="1" si="11"/>
        <v>155</v>
      </c>
    </row>
    <row r="83" spans="1:16" x14ac:dyDescent="0.3">
      <c r="A83" s="13" t="s">
        <v>191</v>
      </c>
      <c r="B83" s="4" t="s">
        <v>192</v>
      </c>
      <c r="C83" s="4" t="s">
        <v>38</v>
      </c>
      <c r="D83" s="4" t="s">
        <v>22</v>
      </c>
      <c r="E83" s="14">
        <v>45746</v>
      </c>
      <c r="F83" s="14">
        <v>45746</v>
      </c>
      <c r="G83" s="14">
        <v>45931</v>
      </c>
      <c r="H83" s="4">
        <v>12000</v>
      </c>
      <c r="I83" s="4" t="s">
        <v>23</v>
      </c>
      <c r="J83" s="4" t="s">
        <v>35</v>
      </c>
      <c r="K83" s="4" t="s">
        <v>26</v>
      </c>
      <c r="L83" s="4">
        <v>12000</v>
      </c>
      <c r="M83" s="4" t="str">
        <f t="shared" si="8"/>
        <v>Medium</v>
      </c>
      <c r="N83" s="4">
        <f t="shared" si="9"/>
        <v>185</v>
      </c>
      <c r="O83" s="4">
        <f t="shared" si="10"/>
        <v>0</v>
      </c>
      <c r="P83" s="4">
        <f t="shared" ca="1" si="11"/>
        <v>251</v>
      </c>
    </row>
    <row r="84" spans="1:16" x14ac:dyDescent="0.3">
      <c r="A84" s="15" t="s">
        <v>193</v>
      </c>
      <c r="B84" s="16" t="s">
        <v>194</v>
      </c>
      <c r="C84" s="16" t="s">
        <v>38</v>
      </c>
      <c r="D84" s="16" t="s">
        <v>30</v>
      </c>
      <c r="E84" s="17">
        <v>46115</v>
      </c>
      <c r="F84" s="17">
        <v>46115</v>
      </c>
      <c r="G84" s="17">
        <v>46221</v>
      </c>
      <c r="H84" s="16">
        <v>15000</v>
      </c>
      <c r="I84" s="16" t="s">
        <v>23</v>
      </c>
      <c r="J84" s="16" t="s">
        <v>35</v>
      </c>
      <c r="K84" s="16" t="s">
        <v>68</v>
      </c>
      <c r="L84" s="16">
        <v>15000</v>
      </c>
      <c r="M84" s="16" t="str">
        <f t="shared" si="8"/>
        <v>High</v>
      </c>
      <c r="N84" s="16">
        <f t="shared" si="9"/>
        <v>106</v>
      </c>
      <c r="O84" s="16">
        <f t="shared" si="10"/>
        <v>0</v>
      </c>
      <c r="P84" s="16">
        <f t="shared" ca="1" si="11"/>
        <v>0</v>
      </c>
    </row>
    <row r="85" spans="1:16" x14ac:dyDescent="0.3">
      <c r="A85" s="13" t="s">
        <v>195</v>
      </c>
      <c r="B85" s="4" t="s">
        <v>196</v>
      </c>
      <c r="C85" s="4" t="s">
        <v>29</v>
      </c>
      <c r="D85" s="4" t="s">
        <v>30</v>
      </c>
      <c r="E85" s="14">
        <v>46168</v>
      </c>
      <c r="F85" s="14">
        <v>45992</v>
      </c>
      <c r="G85" s="14">
        <v>46108</v>
      </c>
      <c r="H85" s="4">
        <v>18000</v>
      </c>
      <c r="I85" s="4" t="s">
        <v>16</v>
      </c>
      <c r="J85" s="4" t="s">
        <v>17</v>
      </c>
      <c r="K85" s="4" t="s">
        <v>31</v>
      </c>
      <c r="L85" s="4">
        <v>18000</v>
      </c>
      <c r="M85" s="4" t="str">
        <f t="shared" si="8"/>
        <v>High</v>
      </c>
      <c r="N85" s="4">
        <f t="shared" si="9"/>
        <v>-60</v>
      </c>
      <c r="O85" s="4">
        <f t="shared" si="10"/>
        <v>1</v>
      </c>
      <c r="P85" s="4">
        <f t="shared" ca="1" si="11"/>
        <v>74</v>
      </c>
    </row>
    <row r="86" spans="1:16" x14ac:dyDescent="0.3">
      <c r="A86" s="15" t="s">
        <v>197</v>
      </c>
      <c r="B86" s="16" t="s">
        <v>198</v>
      </c>
      <c r="C86" s="16" t="s">
        <v>21</v>
      </c>
      <c r="D86" s="16" t="s">
        <v>22</v>
      </c>
      <c r="E86" s="17">
        <v>45797</v>
      </c>
      <c r="F86" s="17">
        <v>45797</v>
      </c>
      <c r="G86" s="17">
        <v>46063</v>
      </c>
      <c r="H86" s="16">
        <v>12000</v>
      </c>
      <c r="I86" s="16" t="s">
        <v>16</v>
      </c>
      <c r="J86" s="16" t="s">
        <v>35</v>
      </c>
      <c r="K86" s="16" t="s">
        <v>68</v>
      </c>
      <c r="L86" s="16">
        <v>12000</v>
      </c>
      <c r="M86" s="16" t="str">
        <f t="shared" si="8"/>
        <v>Medium</v>
      </c>
      <c r="N86" s="16">
        <f t="shared" si="9"/>
        <v>266</v>
      </c>
      <c r="O86" s="16">
        <f t="shared" si="10"/>
        <v>1</v>
      </c>
      <c r="P86" s="16">
        <f t="shared" ca="1" si="11"/>
        <v>119</v>
      </c>
    </row>
    <row r="87" spans="1:16" x14ac:dyDescent="0.3">
      <c r="A87" s="13" t="s">
        <v>199</v>
      </c>
      <c r="B87" s="4" t="s">
        <v>200</v>
      </c>
      <c r="C87" s="4" t="s">
        <v>29</v>
      </c>
      <c r="D87" s="4" t="s">
        <v>45</v>
      </c>
      <c r="E87" s="14">
        <v>45700</v>
      </c>
      <c r="F87" s="14">
        <v>45700</v>
      </c>
      <c r="G87" s="14">
        <v>46041</v>
      </c>
      <c r="H87" s="4">
        <v>18000</v>
      </c>
      <c r="I87" s="4" t="s">
        <v>16</v>
      </c>
      <c r="J87" s="4" t="s">
        <v>17</v>
      </c>
      <c r="K87" s="4" t="s">
        <v>31</v>
      </c>
      <c r="L87" s="4">
        <v>18000</v>
      </c>
      <c r="M87" s="4" t="str">
        <f t="shared" si="8"/>
        <v>High</v>
      </c>
      <c r="N87" s="4">
        <f t="shared" si="9"/>
        <v>341</v>
      </c>
      <c r="O87" s="4">
        <f t="shared" si="10"/>
        <v>1</v>
      </c>
      <c r="P87" s="4">
        <f t="shared" ca="1" si="11"/>
        <v>141</v>
      </c>
    </row>
    <row r="88" spans="1:16" x14ac:dyDescent="0.3">
      <c r="A88" s="15" t="s">
        <v>201</v>
      </c>
      <c r="B88" s="16" t="s">
        <v>202</v>
      </c>
      <c r="C88" s="16" t="s">
        <v>29</v>
      </c>
      <c r="D88" s="16" t="s">
        <v>22</v>
      </c>
      <c r="E88" s="17">
        <v>45886</v>
      </c>
      <c r="F88" s="17">
        <v>45886</v>
      </c>
      <c r="G88" s="17">
        <v>45984</v>
      </c>
      <c r="H88" s="16">
        <v>10000</v>
      </c>
      <c r="I88" s="16" t="s">
        <v>23</v>
      </c>
      <c r="J88" s="16" t="s">
        <v>17</v>
      </c>
      <c r="K88" s="16" t="s">
        <v>68</v>
      </c>
      <c r="L88" s="16">
        <v>10000</v>
      </c>
      <c r="M88" s="16" t="str">
        <f t="shared" si="8"/>
        <v>Medium</v>
      </c>
      <c r="N88" s="16">
        <f t="shared" si="9"/>
        <v>98</v>
      </c>
      <c r="O88" s="16">
        <f t="shared" si="10"/>
        <v>0</v>
      </c>
      <c r="P88" s="16">
        <f t="shared" ca="1" si="11"/>
        <v>198</v>
      </c>
    </row>
    <row r="89" spans="1:16" x14ac:dyDescent="0.3">
      <c r="A89" s="13" t="s">
        <v>203</v>
      </c>
      <c r="B89" s="4" t="s">
        <v>204</v>
      </c>
      <c r="C89" s="4" t="s">
        <v>14</v>
      </c>
      <c r="D89" s="4" t="s">
        <v>45</v>
      </c>
      <c r="E89" s="14">
        <v>46033</v>
      </c>
      <c r="F89" s="14">
        <v>46033</v>
      </c>
      <c r="G89" s="14">
        <v>46354</v>
      </c>
      <c r="H89" s="4">
        <v>10000</v>
      </c>
      <c r="I89" s="4" t="s">
        <v>23</v>
      </c>
      <c r="J89" s="4" t="s">
        <v>17</v>
      </c>
      <c r="K89" s="4" t="s">
        <v>18</v>
      </c>
      <c r="L89" s="4">
        <v>10000</v>
      </c>
      <c r="M89" s="4" t="str">
        <f t="shared" si="8"/>
        <v>Medium</v>
      </c>
      <c r="N89" s="4">
        <f t="shared" si="9"/>
        <v>321</v>
      </c>
      <c r="O89" s="4">
        <f t="shared" si="10"/>
        <v>0</v>
      </c>
      <c r="P89" s="4">
        <f t="shared" ca="1" si="11"/>
        <v>0</v>
      </c>
    </row>
    <row r="90" spans="1:16" x14ac:dyDescent="0.3">
      <c r="A90" s="15" t="s">
        <v>205</v>
      </c>
      <c r="B90" s="16" t="s">
        <v>206</v>
      </c>
      <c r="C90" s="16" t="s">
        <v>21</v>
      </c>
      <c r="D90" s="16" t="s">
        <v>30</v>
      </c>
      <c r="E90" s="17">
        <v>45866</v>
      </c>
      <c r="F90" s="17">
        <v>45866</v>
      </c>
      <c r="G90" s="17">
        <v>46132</v>
      </c>
      <c r="H90" s="16">
        <v>18000</v>
      </c>
      <c r="I90" s="16" t="s">
        <v>16</v>
      </c>
      <c r="J90" s="16" t="s">
        <v>35</v>
      </c>
      <c r="K90" s="16" t="s">
        <v>18</v>
      </c>
      <c r="L90" s="16">
        <v>18000</v>
      </c>
      <c r="M90" s="16" t="str">
        <f t="shared" si="8"/>
        <v>High</v>
      </c>
      <c r="N90" s="16">
        <f t="shared" si="9"/>
        <v>266</v>
      </c>
      <c r="O90" s="16">
        <f t="shared" si="10"/>
        <v>1</v>
      </c>
      <c r="P90" s="16">
        <f t="shared" ca="1" si="11"/>
        <v>50</v>
      </c>
    </row>
    <row r="91" spans="1:16" x14ac:dyDescent="0.3">
      <c r="A91" s="13" t="s">
        <v>207</v>
      </c>
      <c r="B91" s="4" t="s">
        <v>208</v>
      </c>
      <c r="C91" s="4" t="s">
        <v>29</v>
      </c>
      <c r="D91" s="4" t="s">
        <v>30</v>
      </c>
      <c r="E91" s="14">
        <v>45845</v>
      </c>
      <c r="F91" s="14">
        <v>45845</v>
      </c>
      <c r="G91" s="14">
        <v>46033</v>
      </c>
      <c r="H91" s="4">
        <v>8000</v>
      </c>
      <c r="I91" s="4" t="s">
        <v>16</v>
      </c>
      <c r="J91" s="4" t="s">
        <v>17</v>
      </c>
      <c r="K91" s="4" t="s">
        <v>18</v>
      </c>
      <c r="L91" s="4">
        <v>8000</v>
      </c>
      <c r="M91" s="4" t="str">
        <f t="shared" si="8"/>
        <v>Low</v>
      </c>
      <c r="N91" s="4">
        <f t="shared" si="9"/>
        <v>188</v>
      </c>
      <c r="O91" s="4">
        <f t="shared" si="10"/>
        <v>1</v>
      </c>
      <c r="P91" s="4">
        <f t="shared" ca="1" si="11"/>
        <v>149</v>
      </c>
    </row>
    <row r="92" spans="1:16" x14ac:dyDescent="0.3">
      <c r="A92" s="15" t="s">
        <v>209</v>
      </c>
      <c r="B92" s="16" t="s">
        <v>210</v>
      </c>
      <c r="C92" s="16" t="s">
        <v>38</v>
      </c>
      <c r="D92" s="16" t="s">
        <v>45</v>
      </c>
      <c r="E92" s="17">
        <v>45913</v>
      </c>
      <c r="F92" s="17">
        <v>45913</v>
      </c>
      <c r="G92" s="17">
        <v>46018</v>
      </c>
      <c r="H92" s="16">
        <v>12000</v>
      </c>
      <c r="I92" s="16" t="s">
        <v>23</v>
      </c>
      <c r="J92" s="16" t="s">
        <v>35</v>
      </c>
      <c r="K92" s="16" t="s">
        <v>18</v>
      </c>
      <c r="L92" s="16">
        <v>12000</v>
      </c>
      <c r="M92" s="16" t="str">
        <f t="shared" si="8"/>
        <v>Medium</v>
      </c>
      <c r="N92" s="16">
        <f t="shared" si="9"/>
        <v>105</v>
      </c>
      <c r="O92" s="16">
        <f t="shared" si="10"/>
        <v>0</v>
      </c>
      <c r="P92" s="16">
        <f t="shared" ca="1" si="11"/>
        <v>164</v>
      </c>
    </row>
    <row r="93" spans="1:16" x14ac:dyDescent="0.3">
      <c r="A93" s="13" t="s">
        <v>211</v>
      </c>
      <c r="B93" s="4" t="s">
        <v>212</v>
      </c>
      <c r="C93" s="4" t="s">
        <v>14</v>
      </c>
      <c r="D93" s="4" t="s">
        <v>22</v>
      </c>
      <c r="E93" s="14">
        <v>46133</v>
      </c>
      <c r="F93" s="14">
        <v>46133</v>
      </c>
      <c r="G93" s="14">
        <v>46317</v>
      </c>
      <c r="H93" s="4">
        <v>18000</v>
      </c>
      <c r="I93" s="4" t="s">
        <v>23</v>
      </c>
      <c r="J93" s="4" t="s">
        <v>35</v>
      </c>
      <c r="K93" s="4" t="s">
        <v>31</v>
      </c>
      <c r="L93" s="4">
        <v>18000</v>
      </c>
      <c r="M93" s="4" t="str">
        <f t="shared" si="8"/>
        <v>High</v>
      </c>
      <c r="N93" s="4">
        <f t="shared" si="9"/>
        <v>184</v>
      </c>
      <c r="O93" s="4">
        <f t="shared" si="10"/>
        <v>0</v>
      </c>
      <c r="P93" s="4">
        <f t="shared" ca="1" si="11"/>
        <v>0</v>
      </c>
    </row>
    <row r="94" spans="1:16" x14ac:dyDescent="0.3">
      <c r="A94" s="15" t="s">
        <v>213</v>
      </c>
      <c r="B94" s="16" t="s">
        <v>214</v>
      </c>
      <c r="C94" s="16" t="s">
        <v>38</v>
      </c>
      <c r="D94" s="16" t="s">
        <v>45</v>
      </c>
      <c r="E94" s="17">
        <v>45914</v>
      </c>
      <c r="F94" s="17">
        <v>45914</v>
      </c>
      <c r="G94" s="17">
        <v>46273</v>
      </c>
      <c r="H94" s="16">
        <v>10000</v>
      </c>
      <c r="I94" s="16" t="s">
        <v>16</v>
      </c>
      <c r="J94" s="16" t="s">
        <v>35</v>
      </c>
      <c r="K94" s="16" t="s">
        <v>31</v>
      </c>
      <c r="L94" s="16">
        <v>10000</v>
      </c>
      <c r="M94" s="16" t="str">
        <f t="shared" si="8"/>
        <v>Medium</v>
      </c>
      <c r="N94" s="16">
        <f t="shared" si="9"/>
        <v>359</v>
      </c>
      <c r="O94" s="16">
        <f t="shared" si="10"/>
        <v>1</v>
      </c>
      <c r="P94" s="16">
        <f t="shared" ca="1" si="11"/>
        <v>0</v>
      </c>
    </row>
    <row r="95" spans="1:16" x14ac:dyDescent="0.3">
      <c r="A95" s="13" t="s">
        <v>215</v>
      </c>
      <c r="B95" s="4" t="s">
        <v>216</v>
      </c>
      <c r="C95" s="4" t="s">
        <v>14</v>
      </c>
      <c r="D95" s="4" t="s">
        <v>45</v>
      </c>
      <c r="E95" s="14">
        <v>45694</v>
      </c>
      <c r="F95" s="14">
        <v>45694</v>
      </c>
      <c r="G95" s="14">
        <v>45977</v>
      </c>
      <c r="H95" s="4">
        <v>15000</v>
      </c>
      <c r="I95" s="4" t="s">
        <v>23</v>
      </c>
      <c r="J95" s="4" t="s">
        <v>17</v>
      </c>
      <c r="K95" s="4" t="s">
        <v>68</v>
      </c>
      <c r="L95" s="4">
        <v>15000</v>
      </c>
      <c r="M95" s="4" t="str">
        <f t="shared" si="8"/>
        <v>High</v>
      </c>
      <c r="N95" s="4">
        <f t="shared" si="9"/>
        <v>283</v>
      </c>
      <c r="O95" s="4">
        <f t="shared" si="10"/>
        <v>0</v>
      </c>
      <c r="P95" s="4">
        <f t="shared" ca="1" si="11"/>
        <v>205</v>
      </c>
    </row>
    <row r="96" spans="1:16" x14ac:dyDescent="0.3">
      <c r="A96" s="15" t="s">
        <v>217</v>
      </c>
      <c r="B96" s="16" t="s">
        <v>218</v>
      </c>
      <c r="C96" s="16" t="s">
        <v>29</v>
      </c>
      <c r="D96" s="16" t="s">
        <v>30</v>
      </c>
      <c r="E96" s="17">
        <v>46058</v>
      </c>
      <c r="F96" s="17">
        <v>46058</v>
      </c>
      <c r="G96" s="17">
        <v>46419</v>
      </c>
      <c r="H96" s="16">
        <v>18000</v>
      </c>
      <c r="I96" s="16" t="s">
        <v>23</v>
      </c>
      <c r="J96" s="16" t="s">
        <v>35</v>
      </c>
      <c r="K96" s="16" t="s">
        <v>18</v>
      </c>
      <c r="L96" s="16">
        <v>18000</v>
      </c>
      <c r="M96" s="16" t="str">
        <f t="shared" si="8"/>
        <v>High</v>
      </c>
      <c r="N96" s="16">
        <f t="shared" si="9"/>
        <v>361</v>
      </c>
      <c r="O96" s="16">
        <f t="shared" si="10"/>
        <v>0</v>
      </c>
      <c r="P96" s="16">
        <f t="shared" ca="1" si="11"/>
        <v>0</v>
      </c>
    </row>
    <row r="97" spans="1:16" x14ac:dyDescent="0.3">
      <c r="A97" s="13" t="s">
        <v>219</v>
      </c>
      <c r="B97" s="4" t="s">
        <v>220</v>
      </c>
      <c r="C97" s="4" t="s">
        <v>29</v>
      </c>
      <c r="D97" s="4" t="s">
        <v>30</v>
      </c>
      <c r="E97" s="14">
        <v>45962</v>
      </c>
      <c r="F97" s="14">
        <v>45962</v>
      </c>
      <c r="G97" s="14">
        <v>46059</v>
      </c>
      <c r="H97" s="4">
        <v>10000</v>
      </c>
      <c r="I97" s="4" t="s">
        <v>16</v>
      </c>
      <c r="J97" s="4" t="s">
        <v>17</v>
      </c>
      <c r="K97" s="4" t="s">
        <v>68</v>
      </c>
      <c r="L97" s="4">
        <v>10000</v>
      </c>
      <c r="M97" s="4" t="str">
        <f t="shared" si="8"/>
        <v>Medium</v>
      </c>
      <c r="N97" s="4">
        <f t="shared" si="9"/>
        <v>97</v>
      </c>
      <c r="O97" s="4">
        <f t="shared" si="10"/>
        <v>1</v>
      </c>
      <c r="P97" s="4">
        <f t="shared" ca="1" si="11"/>
        <v>123</v>
      </c>
    </row>
    <row r="98" spans="1:16" x14ac:dyDescent="0.3">
      <c r="A98" s="15" t="s">
        <v>221</v>
      </c>
      <c r="B98" s="16" t="s">
        <v>222</v>
      </c>
      <c r="C98" s="16" t="s">
        <v>29</v>
      </c>
      <c r="D98" s="16" t="s">
        <v>22</v>
      </c>
      <c r="E98" s="17">
        <v>46028</v>
      </c>
      <c r="F98" s="17">
        <v>46028</v>
      </c>
      <c r="G98" s="17">
        <v>46173</v>
      </c>
      <c r="H98" s="16">
        <v>18000</v>
      </c>
      <c r="I98" s="16" t="s">
        <v>16</v>
      </c>
      <c r="J98" s="16" t="s">
        <v>17</v>
      </c>
      <c r="K98" s="16" t="s">
        <v>68</v>
      </c>
      <c r="L98" s="16">
        <v>18000</v>
      </c>
      <c r="M98" s="16" t="str">
        <f t="shared" ref="M98:M129" si="12">IF(H98&gt;=15000,"High",IF(H98&gt;=10000,"Medium","Low"))</f>
        <v>High</v>
      </c>
      <c r="N98" s="16">
        <f t="shared" ref="N98:N129" si="13">G98-E98</f>
        <v>145</v>
      </c>
      <c r="O98" s="16">
        <f t="shared" ref="O98:O129" si="14">IF(I98="Occupied",1,0)</f>
        <v>1</v>
      </c>
      <c r="P98" s="16">
        <f t="shared" ref="P98:P129" ca="1" si="15">IF(G98&lt;TODAY(),TODAY()-G98,0)</f>
        <v>9</v>
      </c>
    </row>
    <row r="99" spans="1:16" x14ac:dyDescent="0.3">
      <c r="A99" s="13" t="s">
        <v>223</v>
      </c>
      <c r="B99" s="4" t="s">
        <v>224</v>
      </c>
      <c r="C99" s="4" t="s">
        <v>14</v>
      </c>
      <c r="D99" s="4" t="s">
        <v>22</v>
      </c>
      <c r="E99" s="14">
        <v>45745</v>
      </c>
      <c r="F99" s="14">
        <v>45745</v>
      </c>
      <c r="G99" s="14">
        <v>45912</v>
      </c>
      <c r="H99" s="4">
        <v>12000</v>
      </c>
      <c r="I99" s="4" t="s">
        <v>16</v>
      </c>
      <c r="J99" s="4" t="s">
        <v>35</v>
      </c>
      <c r="K99" s="4" t="s">
        <v>31</v>
      </c>
      <c r="L99" s="4">
        <v>12000</v>
      </c>
      <c r="M99" s="4" t="str">
        <f t="shared" si="12"/>
        <v>Medium</v>
      </c>
      <c r="N99" s="4">
        <f t="shared" si="13"/>
        <v>167</v>
      </c>
      <c r="O99" s="4">
        <f t="shared" si="14"/>
        <v>1</v>
      </c>
      <c r="P99" s="4">
        <f t="shared" ca="1" si="15"/>
        <v>270</v>
      </c>
    </row>
    <row r="100" spans="1:16" x14ac:dyDescent="0.3">
      <c r="A100" s="15" t="s">
        <v>225</v>
      </c>
      <c r="B100" s="16" t="s">
        <v>226</v>
      </c>
      <c r="C100" s="16" t="s">
        <v>14</v>
      </c>
      <c r="D100" s="16" t="s">
        <v>45</v>
      </c>
      <c r="E100" s="17">
        <v>45998</v>
      </c>
      <c r="F100" s="17">
        <v>45998</v>
      </c>
      <c r="G100" s="17">
        <v>46322</v>
      </c>
      <c r="H100" s="16">
        <v>12000</v>
      </c>
      <c r="I100" s="16" t="s">
        <v>23</v>
      </c>
      <c r="J100" s="16" t="s">
        <v>35</v>
      </c>
      <c r="K100" s="16" t="s">
        <v>26</v>
      </c>
      <c r="L100" s="16">
        <v>12000</v>
      </c>
      <c r="M100" s="16" t="str">
        <f t="shared" si="12"/>
        <v>Medium</v>
      </c>
      <c r="N100" s="16">
        <f t="shared" si="13"/>
        <v>324</v>
      </c>
      <c r="O100" s="16">
        <f t="shared" si="14"/>
        <v>0</v>
      </c>
      <c r="P100" s="16">
        <f t="shared" ca="1" si="15"/>
        <v>0</v>
      </c>
    </row>
    <row r="101" spans="1:16" x14ac:dyDescent="0.3">
      <c r="A101" s="13" t="s">
        <v>227</v>
      </c>
      <c r="B101" s="4" t="s">
        <v>228</v>
      </c>
      <c r="C101" s="4" t="s">
        <v>21</v>
      </c>
      <c r="D101" s="4" t="s">
        <v>30</v>
      </c>
      <c r="E101" s="14">
        <v>46069</v>
      </c>
      <c r="F101" s="14">
        <v>46069</v>
      </c>
      <c r="G101" s="14">
        <v>46256</v>
      </c>
      <c r="H101" s="4">
        <v>15000</v>
      </c>
      <c r="I101" s="4" t="s">
        <v>23</v>
      </c>
      <c r="J101" s="4" t="s">
        <v>35</v>
      </c>
      <c r="K101" s="4" t="s">
        <v>26</v>
      </c>
      <c r="L101" s="4">
        <v>15000</v>
      </c>
      <c r="M101" s="4" t="str">
        <f t="shared" si="12"/>
        <v>High</v>
      </c>
      <c r="N101" s="4">
        <f t="shared" si="13"/>
        <v>187</v>
      </c>
      <c r="O101" s="4">
        <f t="shared" si="14"/>
        <v>0</v>
      </c>
      <c r="P101" s="4">
        <f t="shared" ca="1" si="15"/>
        <v>0</v>
      </c>
    </row>
    <row r="102" spans="1:16" x14ac:dyDescent="0.3">
      <c r="A102" s="15" t="s">
        <v>229</v>
      </c>
      <c r="B102" s="16" t="s">
        <v>230</v>
      </c>
      <c r="C102" s="16" t="s">
        <v>38</v>
      </c>
      <c r="D102" s="16" t="s">
        <v>30</v>
      </c>
      <c r="E102" s="17">
        <v>46147</v>
      </c>
      <c r="F102" s="17">
        <v>45722</v>
      </c>
      <c r="G102" s="17">
        <v>45923</v>
      </c>
      <c r="H102" s="16">
        <v>15000</v>
      </c>
      <c r="I102" s="16" t="s">
        <v>23</v>
      </c>
      <c r="J102" s="16" t="s">
        <v>17</v>
      </c>
      <c r="K102" s="16" t="s">
        <v>68</v>
      </c>
      <c r="L102" s="16">
        <v>15000</v>
      </c>
      <c r="M102" s="16" t="str">
        <f t="shared" si="12"/>
        <v>High</v>
      </c>
      <c r="N102" s="16">
        <f t="shared" si="13"/>
        <v>-224</v>
      </c>
      <c r="O102" s="16">
        <f t="shared" si="14"/>
        <v>0</v>
      </c>
      <c r="P102" s="16">
        <f t="shared" ca="1" si="15"/>
        <v>259</v>
      </c>
    </row>
    <row r="103" spans="1:16" x14ac:dyDescent="0.3">
      <c r="A103" s="13" t="s">
        <v>231</v>
      </c>
      <c r="B103" s="4" t="s">
        <v>232</v>
      </c>
      <c r="C103" s="4" t="s">
        <v>38</v>
      </c>
      <c r="D103" s="4" t="s">
        <v>30</v>
      </c>
      <c r="E103" s="14">
        <v>45797</v>
      </c>
      <c r="F103" s="14">
        <v>45797</v>
      </c>
      <c r="G103" s="14">
        <v>46040</v>
      </c>
      <c r="H103" s="4">
        <v>12000</v>
      </c>
      <c r="I103" s="4" t="s">
        <v>16</v>
      </c>
      <c r="J103" s="4" t="s">
        <v>17</v>
      </c>
      <c r="K103" s="4" t="s">
        <v>26</v>
      </c>
      <c r="L103" s="4">
        <v>12000</v>
      </c>
      <c r="M103" s="4" t="str">
        <f t="shared" si="12"/>
        <v>Medium</v>
      </c>
      <c r="N103" s="4">
        <f t="shared" si="13"/>
        <v>243</v>
      </c>
      <c r="O103" s="4">
        <f t="shared" si="14"/>
        <v>1</v>
      </c>
      <c r="P103" s="4">
        <f t="shared" ca="1" si="15"/>
        <v>142</v>
      </c>
    </row>
    <row r="104" spans="1:16" x14ac:dyDescent="0.3">
      <c r="A104" s="15" t="s">
        <v>233</v>
      </c>
      <c r="B104" s="16" t="s">
        <v>234</v>
      </c>
      <c r="C104" s="16" t="s">
        <v>38</v>
      </c>
      <c r="D104" s="16" t="s">
        <v>45</v>
      </c>
      <c r="E104" s="17">
        <v>45952</v>
      </c>
      <c r="F104" s="17">
        <v>45952</v>
      </c>
      <c r="G104" s="17">
        <v>46186</v>
      </c>
      <c r="H104" s="16">
        <v>12000</v>
      </c>
      <c r="I104" s="16" t="s">
        <v>23</v>
      </c>
      <c r="J104" s="16" t="s">
        <v>17</v>
      </c>
      <c r="K104" s="16" t="s">
        <v>18</v>
      </c>
      <c r="L104" s="16">
        <v>12000</v>
      </c>
      <c r="M104" s="16" t="str">
        <f t="shared" si="12"/>
        <v>Medium</v>
      </c>
      <c r="N104" s="16">
        <f t="shared" si="13"/>
        <v>234</v>
      </c>
      <c r="O104" s="16">
        <f t="shared" si="14"/>
        <v>0</v>
      </c>
      <c r="P104" s="16">
        <f t="shared" ca="1" si="15"/>
        <v>0</v>
      </c>
    </row>
    <row r="105" spans="1:16" x14ac:dyDescent="0.3">
      <c r="A105" s="13" t="s">
        <v>235</v>
      </c>
      <c r="B105" s="4" t="s">
        <v>236</v>
      </c>
      <c r="C105" s="4" t="s">
        <v>29</v>
      </c>
      <c r="D105" s="4" t="s">
        <v>30</v>
      </c>
      <c r="E105" s="14">
        <v>46103</v>
      </c>
      <c r="F105" s="14">
        <v>46103</v>
      </c>
      <c r="G105" s="14">
        <v>46121</v>
      </c>
      <c r="H105" s="4">
        <v>15000</v>
      </c>
      <c r="I105" s="4" t="s">
        <v>16</v>
      </c>
      <c r="J105" s="4" t="s">
        <v>17</v>
      </c>
      <c r="K105" s="4" t="s">
        <v>31</v>
      </c>
      <c r="L105" s="4">
        <v>15000</v>
      </c>
      <c r="M105" s="4" t="str">
        <f t="shared" si="12"/>
        <v>High</v>
      </c>
      <c r="N105" s="4">
        <f t="shared" si="13"/>
        <v>18</v>
      </c>
      <c r="O105" s="4">
        <f t="shared" si="14"/>
        <v>1</v>
      </c>
      <c r="P105" s="4">
        <f t="shared" ca="1" si="15"/>
        <v>61</v>
      </c>
    </row>
    <row r="106" spans="1:16" x14ac:dyDescent="0.3">
      <c r="A106" s="15" t="s">
        <v>237</v>
      </c>
      <c r="B106" s="16" t="s">
        <v>238</v>
      </c>
      <c r="C106" s="16" t="s">
        <v>21</v>
      </c>
      <c r="D106" s="16" t="s">
        <v>30</v>
      </c>
      <c r="E106" s="17">
        <v>45753</v>
      </c>
      <c r="F106" s="17">
        <v>45753</v>
      </c>
      <c r="G106" s="17">
        <v>46075</v>
      </c>
      <c r="H106" s="16">
        <v>10000</v>
      </c>
      <c r="I106" s="16" t="s">
        <v>23</v>
      </c>
      <c r="J106" s="16" t="s">
        <v>17</v>
      </c>
      <c r="K106" s="16" t="s">
        <v>68</v>
      </c>
      <c r="L106" s="16">
        <v>10000</v>
      </c>
      <c r="M106" s="16" t="str">
        <f t="shared" si="12"/>
        <v>Medium</v>
      </c>
      <c r="N106" s="16">
        <f t="shared" si="13"/>
        <v>322</v>
      </c>
      <c r="O106" s="16">
        <f t="shared" si="14"/>
        <v>0</v>
      </c>
      <c r="P106" s="16">
        <f t="shared" ca="1" si="15"/>
        <v>107</v>
      </c>
    </row>
    <row r="107" spans="1:16" x14ac:dyDescent="0.3">
      <c r="A107" s="13" t="s">
        <v>239</v>
      </c>
      <c r="B107" s="4" t="s">
        <v>240</v>
      </c>
      <c r="C107" s="4" t="s">
        <v>14</v>
      </c>
      <c r="D107" s="4" t="s">
        <v>22</v>
      </c>
      <c r="E107" s="14">
        <v>45902</v>
      </c>
      <c r="F107" s="14">
        <v>45902</v>
      </c>
      <c r="G107" s="14">
        <v>46039</v>
      </c>
      <c r="H107" s="4">
        <v>12000</v>
      </c>
      <c r="I107" s="4" t="s">
        <v>23</v>
      </c>
      <c r="J107" s="4" t="s">
        <v>35</v>
      </c>
      <c r="K107" s="4" t="s">
        <v>18</v>
      </c>
      <c r="L107" s="4">
        <v>12000</v>
      </c>
      <c r="M107" s="4" t="str">
        <f t="shared" si="12"/>
        <v>Medium</v>
      </c>
      <c r="N107" s="4">
        <f t="shared" si="13"/>
        <v>137</v>
      </c>
      <c r="O107" s="4">
        <f t="shared" si="14"/>
        <v>0</v>
      </c>
      <c r="P107" s="4">
        <f t="shared" ca="1" si="15"/>
        <v>143</v>
      </c>
    </row>
    <row r="108" spans="1:16" x14ac:dyDescent="0.3">
      <c r="A108" s="15" t="s">
        <v>241</v>
      </c>
      <c r="B108" s="16" t="s">
        <v>242</v>
      </c>
      <c r="C108" s="16" t="s">
        <v>38</v>
      </c>
      <c r="D108" s="16" t="s">
        <v>45</v>
      </c>
      <c r="E108" s="17">
        <v>45937</v>
      </c>
      <c r="F108" s="17">
        <v>45937</v>
      </c>
      <c r="G108" s="17">
        <v>46273</v>
      </c>
      <c r="H108" s="16">
        <v>18000</v>
      </c>
      <c r="I108" s="16" t="s">
        <v>23</v>
      </c>
      <c r="J108" s="16" t="s">
        <v>35</v>
      </c>
      <c r="K108" s="16" t="s">
        <v>18</v>
      </c>
      <c r="L108" s="16">
        <v>18000</v>
      </c>
      <c r="M108" s="16" t="str">
        <f t="shared" si="12"/>
        <v>High</v>
      </c>
      <c r="N108" s="16">
        <f t="shared" si="13"/>
        <v>336</v>
      </c>
      <c r="O108" s="16">
        <f t="shared" si="14"/>
        <v>0</v>
      </c>
      <c r="P108" s="16">
        <f t="shared" ca="1" si="15"/>
        <v>0</v>
      </c>
    </row>
    <row r="109" spans="1:16" x14ac:dyDescent="0.3">
      <c r="A109" s="13" t="s">
        <v>243</v>
      </c>
      <c r="B109" s="4" t="s">
        <v>244</v>
      </c>
      <c r="C109" s="4" t="s">
        <v>14</v>
      </c>
      <c r="D109" s="4" t="s">
        <v>22</v>
      </c>
      <c r="E109" s="14">
        <v>46068</v>
      </c>
      <c r="F109" s="14">
        <v>46068</v>
      </c>
      <c r="G109" s="14">
        <v>46185</v>
      </c>
      <c r="H109" s="4">
        <v>10000</v>
      </c>
      <c r="I109" s="4" t="s">
        <v>16</v>
      </c>
      <c r="J109" s="4" t="s">
        <v>17</v>
      </c>
      <c r="K109" s="4" t="s">
        <v>26</v>
      </c>
      <c r="L109" s="4">
        <v>10000</v>
      </c>
      <c r="M109" s="4" t="str">
        <f t="shared" si="12"/>
        <v>Medium</v>
      </c>
      <c r="N109" s="4">
        <f t="shared" si="13"/>
        <v>117</v>
      </c>
      <c r="O109" s="4">
        <f t="shared" si="14"/>
        <v>1</v>
      </c>
      <c r="P109" s="4">
        <f t="shared" ca="1" si="15"/>
        <v>0</v>
      </c>
    </row>
    <row r="110" spans="1:16" x14ac:dyDescent="0.3">
      <c r="A110" s="15" t="s">
        <v>245</v>
      </c>
      <c r="B110" s="16" t="s">
        <v>246</v>
      </c>
      <c r="C110" s="16" t="s">
        <v>14</v>
      </c>
      <c r="D110" s="16" t="s">
        <v>30</v>
      </c>
      <c r="E110" s="17">
        <v>45788</v>
      </c>
      <c r="F110" s="17">
        <v>45788</v>
      </c>
      <c r="G110" s="17">
        <v>45975</v>
      </c>
      <c r="H110" s="16">
        <v>8000</v>
      </c>
      <c r="I110" s="16" t="s">
        <v>16</v>
      </c>
      <c r="J110" s="16" t="s">
        <v>17</v>
      </c>
      <c r="K110" s="16" t="s">
        <v>68</v>
      </c>
      <c r="L110" s="16">
        <v>8000</v>
      </c>
      <c r="M110" s="16" t="str">
        <f t="shared" si="12"/>
        <v>Low</v>
      </c>
      <c r="N110" s="16">
        <f t="shared" si="13"/>
        <v>187</v>
      </c>
      <c r="O110" s="16">
        <f t="shared" si="14"/>
        <v>1</v>
      </c>
      <c r="P110" s="16">
        <f t="shared" ca="1" si="15"/>
        <v>207</v>
      </c>
    </row>
    <row r="111" spans="1:16" x14ac:dyDescent="0.3">
      <c r="A111" s="13" t="s">
        <v>247</v>
      </c>
      <c r="B111" s="4" t="s">
        <v>248</v>
      </c>
      <c r="C111" s="4" t="s">
        <v>29</v>
      </c>
      <c r="D111" s="4" t="s">
        <v>45</v>
      </c>
      <c r="E111" s="14">
        <v>45992</v>
      </c>
      <c r="F111" s="14">
        <v>45992</v>
      </c>
      <c r="G111" s="14">
        <v>46173</v>
      </c>
      <c r="H111" s="4">
        <v>15000</v>
      </c>
      <c r="I111" s="4" t="s">
        <v>16</v>
      </c>
      <c r="J111" s="4" t="s">
        <v>17</v>
      </c>
      <c r="K111" s="4" t="s">
        <v>18</v>
      </c>
      <c r="L111" s="4">
        <v>15000</v>
      </c>
      <c r="M111" s="4" t="str">
        <f t="shared" si="12"/>
        <v>High</v>
      </c>
      <c r="N111" s="4">
        <f t="shared" si="13"/>
        <v>181</v>
      </c>
      <c r="O111" s="4">
        <f t="shared" si="14"/>
        <v>1</v>
      </c>
      <c r="P111" s="4">
        <f t="shared" ca="1" si="15"/>
        <v>9</v>
      </c>
    </row>
    <row r="112" spans="1:16" x14ac:dyDescent="0.3">
      <c r="A112" s="15" t="s">
        <v>249</v>
      </c>
      <c r="B112" s="16" t="s">
        <v>250</v>
      </c>
      <c r="C112" s="16" t="s">
        <v>14</v>
      </c>
      <c r="D112" s="16" t="s">
        <v>30</v>
      </c>
      <c r="E112" s="17">
        <v>46097</v>
      </c>
      <c r="F112" s="17">
        <v>46097</v>
      </c>
      <c r="G112" s="17">
        <v>46211</v>
      </c>
      <c r="H112" s="16">
        <v>8000</v>
      </c>
      <c r="I112" s="16" t="s">
        <v>23</v>
      </c>
      <c r="J112" s="16" t="s">
        <v>17</v>
      </c>
      <c r="K112" s="16" t="s">
        <v>31</v>
      </c>
      <c r="L112" s="16">
        <v>8000</v>
      </c>
      <c r="M112" s="16" t="str">
        <f t="shared" si="12"/>
        <v>Low</v>
      </c>
      <c r="N112" s="16">
        <f t="shared" si="13"/>
        <v>114</v>
      </c>
      <c r="O112" s="16">
        <f t="shared" si="14"/>
        <v>0</v>
      </c>
      <c r="P112" s="16">
        <f t="shared" ca="1" si="15"/>
        <v>0</v>
      </c>
    </row>
    <row r="113" spans="1:16" x14ac:dyDescent="0.3">
      <c r="A113" s="13" t="s">
        <v>251</v>
      </c>
      <c r="B113" s="4" t="s">
        <v>252</v>
      </c>
      <c r="C113" s="4" t="s">
        <v>21</v>
      </c>
      <c r="D113" s="4" t="s">
        <v>30</v>
      </c>
      <c r="E113" s="14">
        <v>45948</v>
      </c>
      <c r="F113" s="14">
        <v>45948</v>
      </c>
      <c r="G113" s="14">
        <v>46155</v>
      </c>
      <c r="H113" s="4">
        <v>8000</v>
      </c>
      <c r="I113" s="4" t="s">
        <v>23</v>
      </c>
      <c r="J113" s="4" t="s">
        <v>17</v>
      </c>
      <c r="K113" s="4" t="s">
        <v>68</v>
      </c>
      <c r="L113" s="4">
        <v>8000</v>
      </c>
      <c r="M113" s="4" t="str">
        <f t="shared" si="12"/>
        <v>Low</v>
      </c>
      <c r="N113" s="4">
        <f t="shared" si="13"/>
        <v>207</v>
      </c>
      <c r="O113" s="4">
        <f t="shared" si="14"/>
        <v>0</v>
      </c>
      <c r="P113" s="4">
        <f t="shared" ca="1" si="15"/>
        <v>27</v>
      </c>
    </row>
    <row r="114" spans="1:16" x14ac:dyDescent="0.3">
      <c r="A114" s="15" t="s">
        <v>253</v>
      </c>
      <c r="B114" s="16" t="s">
        <v>254</v>
      </c>
      <c r="C114" s="16" t="s">
        <v>21</v>
      </c>
      <c r="D114" s="16" t="s">
        <v>45</v>
      </c>
      <c r="E114" s="17">
        <v>45887</v>
      </c>
      <c r="F114" s="17">
        <v>45887</v>
      </c>
      <c r="G114" s="17">
        <v>46230</v>
      </c>
      <c r="H114" s="16">
        <v>15000</v>
      </c>
      <c r="I114" s="16" t="s">
        <v>16</v>
      </c>
      <c r="J114" s="16" t="s">
        <v>35</v>
      </c>
      <c r="K114" s="16" t="s">
        <v>68</v>
      </c>
      <c r="L114" s="16">
        <v>15000</v>
      </c>
      <c r="M114" s="16" t="str">
        <f t="shared" si="12"/>
        <v>High</v>
      </c>
      <c r="N114" s="16">
        <f t="shared" si="13"/>
        <v>343</v>
      </c>
      <c r="O114" s="16">
        <f t="shared" si="14"/>
        <v>1</v>
      </c>
      <c r="P114" s="16">
        <f t="shared" ca="1" si="15"/>
        <v>0</v>
      </c>
    </row>
    <row r="115" spans="1:16" x14ac:dyDescent="0.3">
      <c r="A115" s="13" t="s">
        <v>255</v>
      </c>
      <c r="B115" s="4" t="s">
        <v>256</v>
      </c>
      <c r="C115" s="4" t="s">
        <v>29</v>
      </c>
      <c r="D115" s="4" t="s">
        <v>45</v>
      </c>
      <c r="E115" s="14">
        <v>45795</v>
      </c>
      <c r="F115" s="14">
        <v>45795</v>
      </c>
      <c r="G115" s="14">
        <v>46021</v>
      </c>
      <c r="H115" s="4">
        <v>12199</v>
      </c>
      <c r="I115" s="4" t="s">
        <v>16</v>
      </c>
      <c r="J115" s="4" t="s">
        <v>35</v>
      </c>
      <c r="K115" s="4" t="s">
        <v>26</v>
      </c>
      <c r="L115" s="4">
        <v>12199</v>
      </c>
      <c r="M115" s="4" t="str">
        <f t="shared" si="12"/>
        <v>Medium</v>
      </c>
      <c r="N115" s="4">
        <f t="shared" si="13"/>
        <v>226</v>
      </c>
      <c r="O115" s="4">
        <f t="shared" si="14"/>
        <v>1</v>
      </c>
      <c r="P115" s="4">
        <f t="shared" ca="1" si="15"/>
        <v>161</v>
      </c>
    </row>
    <row r="116" spans="1:16" x14ac:dyDescent="0.3">
      <c r="A116" s="15" t="s">
        <v>257</v>
      </c>
      <c r="B116" s="16" t="s">
        <v>258</v>
      </c>
      <c r="C116" s="16" t="s">
        <v>38</v>
      </c>
      <c r="D116" s="16" t="s">
        <v>30</v>
      </c>
      <c r="E116" s="17">
        <v>46095</v>
      </c>
      <c r="F116" s="17">
        <v>46095</v>
      </c>
      <c r="G116" s="17">
        <v>46408</v>
      </c>
      <c r="H116" s="16">
        <v>12000</v>
      </c>
      <c r="I116" s="16" t="s">
        <v>16</v>
      </c>
      <c r="J116" s="16" t="s">
        <v>35</v>
      </c>
      <c r="K116" s="16" t="s">
        <v>68</v>
      </c>
      <c r="L116" s="16">
        <v>12000</v>
      </c>
      <c r="M116" s="16" t="str">
        <f t="shared" si="12"/>
        <v>Medium</v>
      </c>
      <c r="N116" s="16">
        <f t="shared" si="13"/>
        <v>313</v>
      </c>
      <c r="O116" s="16">
        <f t="shared" si="14"/>
        <v>1</v>
      </c>
      <c r="P116" s="16">
        <f t="shared" ca="1" si="15"/>
        <v>0</v>
      </c>
    </row>
    <row r="117" spans="1:16" x14ac:dyDescent="0.3">
      <c r="A117" s="13" t="s">
        <v>259</v>
      </c>
      <c r="B117" s="4" t="s">
        <v>260</v>
      </c>
      <c r="C117" s="4" t="s">
        <v>38</v>
      </c>
      <c r="D117" s="4" t="s">
        <v>30</v>
      </c>
      <c r="E117" s="14">
        <v>45988</v>
      </c>
      <c r="F117" s="14">
        <v>45988</v>
      </c>
      <c r="G117" s="14">
        <v>46183</v>
      </c>
      <c r="H117" s="4">
        <v>8000</v>
      </c>
      <c r="I117" s="4" t="s">
        <v>23</v>
      </c>
      <c r="J117" s="4" t="s">
        <v>35</v>
      </c>
      <c r="K117" s="4" t="s">
        <v>31</v>
      </c>
      <c r="L117" s="4">
        <v>8000</v>
      </c>
      <c r="M117" s="4" t="str">
        <f t="shared" si="12"/>
        <v>Low</v>
      </c>
      <c r="N117" s="4">
        <f t="shared" si="13"/>
        <v>195</v>
      </c>
      <c r="O117" s="4">
        <f t="shared" si="14"/>
        <v>0</v>
      </c>
      <c r="P117" s="4">
        <f t="shared" ca="1" si="15"/>
        <v>0</v>
      </c>
    </row>
    <row r="118" spans="1:16" x14ac:dyDescent="0.3">
      <c r="A118" s="15" t="s">
        <v>261</v>
      </c>
      <c r="B118" s="16" t="s">
        <v>262</v>
      </c>
      <c r="C118" s="16" t="s">
        <v>21</v>
      </c>
      <c r="D118" s="16" t="s">
        <v>30</v>
      </c>
      <c r="E118" s="17">
        <v>45927</v>
      </c>
      <c r="F118" s="17">
        <v>45927</v>
      </c>
      <c r="G118" s="17">
        <v>46177</v>
      </c>
      <c r="H118" s="16">
        <v>12000</v>
      </c>
      <c r="I118" s="16" t="s">
        <v>16</v>
      </c>
      <c r="J118" s="16" t="s">
        <v>17</v>
      </c>
      <c r="K118" s="16" t="s">
        <v>68</v>
      </c>
      <c r="L118" s="16">
        <v>12000</v>
      </c>
      <c r="M118" s="16" t="str">
        <f t="shared" si="12"/>
        <v>Medium</v>
      </c>
      <c r="N118" s="16">
        <f t="shared" si="13"/>
        <v>250</v>
      </c>
      <c r="O118" s="16">
        <f t="shared" si="14"/>
        <v>1</v>
      </c>
      <c r="P118" s="16">
        <f t="shared" ca="1" si="15"/>
        <v>5</v>
      </c>
    </row>
    <row r="119" spans="1:16" x14ac:dyDescent="0.3">
      <c r="A119" s="13" t="s">
        <v>263</v>
      </c>
      <c r="B119" s="4" t="s">
        <v>264</v>
      </c>
      <c r="C119" s="4" t="s">
        <v>38</v>
      </c>
      <c r="D119" s="4" t="s">
        <v>22</v>
      </c>
      <c r="E119" s="14">
        <v>46166</v>
      </c>
      <c r="F119" s="14">
        <v>46082</v>
      </c>
      <c r="G119" s="14">
        <v>46439</v>
      </c>
      <c r="H119" s="4">
        <v>10000</v>
      </c>
      <c r="I119" s="4" t="s">
        <v>16</v>
      </c>
      <c r="J119" s="4" t="s">
        <v>17</v>
      </c>
      <c r="K119" s="4" t="s">
        <v>68</v>
      </c>
      <c r="L119" s="4">
        <v>10000</v>
      </c>
      <c r="M119" s="4" t="str">
        <f t="shared" si="12"/>
        <v>Medium</v>
      </c>
      <c r="N119" s="4">
        <f t="shared" si="13"/>
        <v>273</v>
      </c>
      <c r="O119" s="4">
        <f t="shared" si="14"/>
        <v>1</v>
      </c>
      <c r="P119" s="4">
        <f t="shared" ca="1" si="15"/>
        <v>0</v>
      </c>
    </row>
    <row r="120" spans="1:16" x14ac:dyDescent="0.3">
      <c r="A120" s="15" t="s">
        <v>265</v>
      </c>
      <c r="B120" s="16" t="s">
        <v>266</v>
      </c>
      <c r="C120" s="16" t="s">
        <v>29</v>
      </c>
      <c r="D120" s="16" t="s">
        <v>45</v>
      </c>
      <c r="E120" s="17">
        <v>45894</v>
      </c>
      <c r="F120" s="17">
        <v>45894</v>
      </c>
      <c r="G120" s="17">
        <v>46156</v>
      </c>
      <c r="H120" s="16">
        <v>8000</v>
      </c>
      <c r="I120" s="16" t="s">
        <v>16</v>
      </c>
      <c r="J120" s="16" t="s">
        <v>17</v>
      </c>
      <c r="K120" s="16" t="s">
        <v>26</v>
      </c>
      <c r="L120" s="16">
        <v>8000</v>
      </c>
      <c r="M120" s="16" t="str">
        <f t="shared" si="12"/>
        <v>Low</v>
      </c>
      <c r="N120" s="16">
        <f t="shared" si="13"/>
        <v>262</v>
      </c>
      <c r="O120" s="16">
        <f t="shared" si="14"/>
        <v>1</v>
      </c>
      <c r="P120" s="16">
        <f t="shared" ca="1" si="15"/>
        <v>26</v>
      </c>
    </row>
    <row r="121" spans="1:16" x14ac:dyDescent="0.3">
      <c r="A121" s="13" t="s">
        <v>267</v>
      </c>
      <c r="B121" s="4" t="s">
        <v>268</v>
      </c>
      <c r="C121" s="4" t="s">
        <v>21</v>
      </c>
      <c r="D121" s="4" t="s">
        <v>22</v>
      </c>
      <c r="E121" s="14">
        <v>45874</v>
      </c>
      <c r="F121" s="14">
        <v>45874</v>
      </c>
      <c r="G121" s="14">
        <v>46206</v>
      </c>
      <c r="H121" s="4">
        <v>10000</v>
      </c>
      <c r="I121" s="4" t="s">
        <v>16</v>
      </c>
      <c r="J121" s="4" t="s">
        <v>17</v>
      </c>
      <c r="K121" s="4" t="s">
        <v>18</v>
      </c>
      <c r="L121" s="4">
        <v>10000</v>
      </c>
      <c r="M121" s="4" t="str">
        <f t="shared" si="12"/>
        <v>Medium</v>
      </c>
      <c r="N121" s="4">
        <f t="shared" si="13"/>
        <v>332</v>
      </c>
      <c r="O121" s="4">
        <f t="shared" si="14"/>
        <v>1</v>
      </c>
      <c r="P121" s="4">
        <f t="shared" ca="1" si="15"/>
        <v>0</v>
      </c>
    </row>
    <row r="122" spans="1:16" x14ac:dyDescent="0.3">
      <c r="A122" s="15" t="s">
        <v>269</v>
      </c>
      <c r="B122" s="16" t="s">
        <v>270</v>
      </c>
      <c r="C122" s="16" t="s">
        <v>14</v>
      </c>
      <c r="D122" s="16" t="s">
        <v>30</v>
      </c>
      <c r="E122" s="17">
        <v>45958</v>
      </c>
      <c r="F122" s="17">
        <v>45958</v>
      </c>
      <c r="G122" s="17">
        <v>46069</v>
      </c>
      <c r="H122" s="16">
        <v>8000</v>
      </c>
      <c r="I122" s="16" t="s">
        <v>16</v>
      </c>
      <c r="J122" s="16" t="s">
        <v>17</v>
      </c>
      <c r="K122" s="16" t="s">
        <v>68</v>
      </c>
      <c r="L122" s="16">
        <v>8000</v>
      </c>
      <c r="M122" s="16" t="str">
        <f t="shared" si="12"/>
        <v>Low</v>
      </c>
      <c r="N122" s="16">
        <f t="shared" si="13"/>
        <v>111</v>
      </c>
      <c r="O122" s="16">
        <f t="shared" si="14"/>
        <v>1</v>
      </c>
      <c r="P122" s="16">
        <f t="shared" ca="1" si="15"/>
        <v>113</v>
      </c>
    </row>
    <row r="123" spans="1:16" x14ac:dyDescent="0.3">
      <c r="A123" s="13" t="s">
        <v>271</v>
      </c>
      <c r="B123" s="4" t="s">
        <v>272</v>
      </c>
      <c r="C123" s="4" t="s">
        <v>38</v>
      </c>
      <c r="D123" s="4" t="s">
        <v>30</v>
      </c>
      <c r="E123" s="14">
        <v>45794</v>
      </c>
      <c r="F123" s="14">
        <v>45794</v>
      </c>
      <c r="G123" s="14">
        <v>46156</v>
      </c>
      <c r="H123" s="4">
        <v>12000</v>
      </c>
      <c r="I123" s="4" t="s">
        <v>16</v>
      </c>
      <c r="J123" s="4" t="s">
        <v>35</v>
      </c>
      <c r="K123" s="4" t="s">
        <v>68</v>
      </c>
      <c r="L123" s="4">
        <v>12000</v>
      </c>
      <c r="M123" s="4" t="str">
        <f t="shared" si="12"/>
        <v>Medium</v>
      </c>
      <c r="N123" s="4">
        <f t="shared" si="13"/>
        <v>362</v>
      </c>
      <c r="O123" s="4">
        <f t="shared" si="14"/>
        <v>1</v>
      </c>
      <c r="P123" s="4">
        <f t="shared" ca="1" si="15"/>
        <v>26</v>
      </c>
    </row>
    <row r="124" spans="1:16" x14ac:dyDescent="0.3">
      <c r="A124" s="15" t="s">
        <v>273</v>
      </c>
      <c r="B124" s="16" t="s">
        <v>274</v>
      </c>
      <c r="C124" s="16" t="s">
        <v>38</v>
      </c>
      <c r="D124" s="16" t="s">
        <v>30</v>
      </c>
      <c r="E124" s="17">
        <v>45894</v>
      </c>
      <c r="F124" s="17">
        <v>45894</v>
      </c>
      <c r="G124" s="17">
        <v>46257</v>
      </c>
      <c r="H124" s="16">
        <v>10000</v>
      </c>
      <c r="I124" s="16" t="s">
        <v>16</v>
      </c>
      <c r="J124" s="16" t="s">
        <v>35</v>
      </c>
      <c r="K124" s="16" t="s">
        <v>26</v>
      </c>
      <c r="L124" s="16">
        <v>10000</v>
      </c>
      <c r="M124" s="16" t="str">
        <f t="shared" si="12"/>
        <v>Medium</v>
      </c>
      <c r="N124" s="16">
        <f t="shared" si="13"/>
        <v>363</v>
      </c>
      <c r="O124" s="16">
        <f t="shared" si="14"/>
        <v>1</v>
      </c>
      <c r="P124" s="16">
        <f t="shared" ca="1" si="15"/>
        <v>0</v>
      </c>
    </row>
    <row r="125" spans="1:16" x14ac:dyDescent="0.3">
      <c r="A125" s="13" t="s">
        <v>275</v>
      </c>
      <c r="B125" s="4" t="s">
        <v>276</v>
      </c>
      <c r="C125" s="4" t="s">
        <v>29</v>
      </c>
      <c r="D125" s="4" t="s">
        <v>30</v>
      </c>
      <c r="E125" s="14">
        <v>45795</v>
      </c>
      <c r="F125" s="14">
        <v>45795</v>
      </c>
      <c r="G125" s="14">
        <v>46058</v>
      </c>
      <c r="H125" s="4">
        <v>12000</v>
      </c>
      <c r="I125" s="4" t="s">
        <v>23</v>
      </c>
      <c r="J125" s="4" t="s">
        <v>17</v>
      </c>
      <c r="K125" s="4" t="s">
        <v>26</v>
      </c>
      <c r="L125" s="4">
        <v>12000</v>
      </c>
      <c r="M125" s="4" t="str">
        <f t="shared" si="12"/>
        <v>Medium</v>
      </c>
      <c r="N125" s="4">
        <f t="shared" si="13"/>
        <v>263</v>
      </c>
      <c r="O125" s="4">
        <f t="shared" si="14"/>
        <v>0</v>
      </c>
      <c r="P125" s="4">
        <f t="shared" ca="1" si="15"/>
        <v>124</v>
      </c>
    </row>
    <row r="126" spans="1:16" x14ac:dyDescent="0.3">
      <c r="A126" s="15" t="s">
        <v>277</v>
      </c>
      <c r="B126" s="16" t="s">
        <v>278</v>
      </c>
      <c r="C126" s="16" t="s">
        <v>14</v>
      </c>
      <c r="D126" s="16" t="s">
        <v>30</v>
      </c>
      <c r="E126" s="17">
        <v>45906</v>
      </c>
      <c r="F126" s="17">
        <v>45906</v>
      </c>
      <c r="G126" s="17">
        <v>46155</v>
      </c>
      <c r="H126" s="16">
        <v>15000</v>
      </c>
      <c r="I126" s="16" t="s">
        <v>23</v>
      </c>
      <c r="J126" s="16" t="s">
        <v>17</v>
      </c>
      <c r="K126" s="16" t="s">
        <v>18</v>
      </c>
      <c r="L126" s="16">
        <v>15000</v>
      </c>
      <c r="M126" s="16" t="str">
        <f t="shared" si="12"/>
        <v>High</v>
      </c>
      <c r="N126" s="16">
        <f t="shared" si="13"/>
        <v>249</v>
      </c>
      <c r="O126" s="16">
        <f t="shared" si="14"/>
        <v>0</v>
      </c>
      <c r="P126" s="16">
        <f t="shared" ca="1" si="15"/>
        <v>27</v>
      </c>
    </row>
    <row r="127" spans="1:16" x14ac:dyDescent="0.3">
      <c r="A127" s="13" t="s">
        <v>279</v>
      </c>
      <c r="B127" s="4" t="s">
        <v>280</v>
      </c>
      <c r="C127" s="4" t="s">
        <v>29</v>
      </c>
      <c r="D127" s="4" t="s">
        <v>30</v>
      </c>
      <c r="E127" s="14">
        <v>45927</v>
      </c>
      <c r="F127" s="14">
        <v>45927</v>
      </c>
      <c r="G127" s="14">
        <v>46239</v>
      </c>
      <c r="H127" s="4">
        <v>18000</v>
      </c>
      <c r="I127" s="4" t="s">
        <v>16</v>
      </c>
      <c r="J127" s="4" t="s">
        <v>35</v>
      </c>
      <c r="K127" s="4" t="s">
        <v>26</v>
      </c>
      <c r="L127" s="4">
        <v>18000</v>
      </c>
      <c r="M127" s="4" t="str">
        <f t="shared" si="12"/>
        <v>High</v>
      </c>
      <c r="N127" s="4">
        <f t="shared" si="13"/>
        <v>312</v>
      </c>
      <c r="O127" s="4">
        <f t="shared" si="14"/>
        <v>1</v>
      </c>
      <c r="P127" s="4">
        <f t="shared" ca="1" si="15"/>
        <v>0</v>
      </c>
    </row>
    <row r="128" spans="1:16" x14ac:dyDescent="0.3">
      <c r="A128" s="15" t="s">
        <v>281</v>
      </c>
      <c r="B128" s="16" t="s">
        <v>282</v>
      </c>
      <c r="C128" s="16" t="s">
        <v>38</v>
      </c>
      <c r="D128" s="16" t="s">
        <v>30</v>
      </c>
      <c r="E128" s="17">
        <v>46171</v>
      </c>
      <c r="F128" s="17">
        <v>46171</v>
      </c>
      <c r="G128" s="17">
        <v>46312</v>
      </c>
      <c r="H128" s="16">
        <v>12000</v>
      </c>
      <c r="I128" s="16" t="s">
        <v>23</v>
      </c>
      <c r="J128" s="16" t="s">
        <v>17</v>
      </c>
      <c r="K128" s="16" t="s">
        <v>31</v>
      </c>
      <c r="L128" s="16">
        <v>12000</v>
      </c>
      <c r="M128" s="16" t="str">
        <f t="shared" si="12"/>
        <v>Medium</v>
      </c>
      <c r="N128" s="16">
        <f t="shared" si="13"/>
        <v>141</v>
      </c>
      <c r="O128" s="16">
        <f t="shared" si="14"/>
        <v>0</v>
      </c>
      <c r="P128" s="16">
        <f t="shared" ca="1" si="15"/>
        <v>0</v>
      </c>
    </row>
    <row r="129" spans="1:16" x14ac:dyDescent="0.3">
      <c r="A129" s="13" t="s">
        <v>283</v>
      </c>
      <c r="B129" s="4" t="s">
        <v>284</v>
      </c>
      <c r="C129" s="4" t="s">
        <v>38</v>
      </c>
      <c r="D129" s="4" t="s">
        <v>30</v>
      </c>
      <c r="E129" s="14">
        <v>45798</v>
      </c>
      <c r="F129" s="14">
        <v>45798</v>
      </c>
      <c r="G129" s="14">
        <v>46133</v>
      </c>
      <c r="H129" s="4">
        <v>8000</v>
      </c>
      <c r="I129" s="4" t="s">
        <v>23</v>
      </c>
      <c r="J129" s="4" t="s">
        <v>35</v>
      </c>
      <c r="K129" s="4" t="s">
        <v>31</v>
      </c>
      <c r="L129" s="4">
        <v>8000</v>
      </c>
      <c r="M129" s="4" t="str">
        <f t="shared" si="12"/>
        <v>Low</v>
      </c>
      <c r="N129" s="4">
        <f t="shared" si="13"/>
        <v>335</v>
      </c>
      <c r="O129" s="4">
        <f t="shared" si="14"/>
        <v>0</v>
      </c>
      <c r="P129" s="4">
        <f t="shared" ca="1" si="15"/>
        <v>49</v>
      </c>
    </row>
    <row r="130" spans="1:16" x14ac:dyDescent="0.3">
      <c r="A130" s="15" t="s">
        <v>285</v>
      </c>
      <c r="B130" s="16" t="s">
        <v>286</v>
      </c>
      <c r="C130" s="16" t="s">
        <v>29</v>
      </c>
      <c r="D130" s="16" t="s">
        <v>30</v>
      </c>
      <c r="E130" s="17">
        <v>46077</v>
      </c>
      <c r="F130" s="17">
        <v>46077</v>
      </c>
      <c r="G130" s="17">
        <v>46208</v>
      </c>
      <c r="H130" s="16">
        <v>12000</v>
      </c>
      <c r="I130" s="16" t="s">
        <v>23</v>
      </c>
      <c r="J130" s="16" t="s">
        <v>35</v>
      </c>
      <c r="K130" s="16" t="s">
        <v>31</v>
      </c>
      <c r="L130" s="16">
        <v>12000</v>
      </c>
      <c r="M130" s="16" t="str">
        <f t="shared" ref="M130:M161" si="16">IF(H130&gt;=15000,"High",IF(H130&gt;=10000,"Medium","Low"))</f>
        <v>Medium</v>
      </c>
      <c r="N130" s="16">
        <f t="shared" ref="N130:N161" si="17">G130-E130</f>
        <v>131</v>
      </c>
      <c r="O130" s="16">
        <f t="shared" ref="O130:O161" si="18">IF(I130="Occupied",1,0)</f>
        <v>0</v>
      </c>
      <c r="P130" s="16">
        <f t="shared" ref="P130:P161" ca="1" si="19">IF(G130&lt;TODAY(),TODAY()-G130,0)</f>
        <v>0</v>
      </c>
    </row>
    <row r="131" spans="1:16" x14ac:dyDescent="0.3">
      <c r="A131" s="13" t="s">
        <v>287</v>
      </c>
      <c r="B131" s="4" t="s">
        <v>288</v>
      </c>
      <c r="C131" s="4" t="s">
        <v>14</v>
      </c>
      <c r="D131" s="4" t="s">
        <v>30</v>
      </c>
      <c r="E131" s="14">
        <v>45812</v>
      </c>
      <c r="F131" s="14">
        <v>45812</v>
      </c>
      <c r="G131" s="14">
        <v>46105</v>
      </c>
      <c r="H131" s="4">
        <v>12000</v>
      </c>
      <c r="I131" s="4" t="s">
        <v>16</v>
      </c>
      <c r="J131" s="4" t="s">
        <v>17</v>
      </c>
      <c r="K131" s="4" t="s">
        <v>68</v>
      </c>
      <c r="L131" s="4">
        <v>12000</v>
      </c>
      <c r="M131" s="4" t="str">
        <f t="shared" si="16"/>
        <v>Medium</v>
      </c>
      <c r="N131" s="4">
        <f t="shared" si="17"/>
        <v>293</v>
      </c>
      <c r="O131" s="4">
        <f t="shared" si="18"/>
        <v>1</v>
      </c>
      <c r="P131" s="4">
        <f t="shared" ca="1" si="19"/>
        <v>77</v>
      </c>
    </row>
    <row r="132" spans="1:16" x14ac:dyDescent="0.3">
      <c r="A132" s="15" t="s">
        <v>289</v>
      </c>
      <c r="B132" s="16" t="s">
        <v>290</v>
      </c>
      <c r="C132" s="16" t="s">
        <v>14</v>
      </c>
      <c r="D132" s="16" t="s">
        <v>22</v>
      </c>
      <c r="E132" s="17">
        <v>45747</v>
      </c>
      <c r="F132" s="17">
        <v>45747</v>
      </c>
      <c r="G132" s="17">
        <v>46053</v>
      </c>
      <c r="H132" s="16">
        <v>10000</v>
      </c>
      <c r="I132" s="16" t="s">
        <v>16</v>
      </c>
      <c r="J132" s="16" t="s">
        <v>17</v>
      </c>
      <c r="K132" s="16" t="s">
        <v>26</v>
      </c>
      <c r="L132" s="16">
        <v>10000</v>
      </c>
      <c r="M132" s="16" t="str">
        <f t="shared" si="16"/>
        <v>Medium</v>
      </c>
      <c r="N132" s="16">
        <f t="shared" si="17"/>
        <v>306</v>
      </c>
      <c r="O132" s="16">
        <f t="shared" si="18"/>
        <v>1</v>
      </c>
      <c r="P132" s="16">
        <f t="shared" ca="1" si="19"/>
        <v>129</v>
      </c>
    </row>
    <row r="133" spans="1:16" x14ac:dyDescent="0.3">
      <c r="A133" s="13" t="s">
        <v>291</v>
      </c>
      <c r="B133" s="4" t="s">
        <v>292</v>
      </c>
      <c r="C133" s="4" t="s">
        <v>14</v>
      </c>
      <c r="D133" s="4" t="s">
        <v>30</v>
      </c>
      <c r="E133" s="14">
        <v>45896</v>
      </c>
      <c r="F133" s="14">
        <v>45896</v>
      </c>
      <c r="G133" s="14">
        <v>46122</v>
      </c>
      <c r="H133" s="4">
        <v>18000</v>
      </c>
      <c r="I133" s="4" t="s">
        <v>23</v>
      </c>
      <c r="J133" s="4" t="s">
        <v>17</v>
      </c>
      <c r="K133" s="4" t="s">
        <v>18</v>
      </c>
      <c r="L133" s="4">
        <v>18000</v>
      </c>
      <c r="M133" s="4" t="str">
        <f t="shared" si="16"/>
        <v>High</v>
      </c>
      <c r="N133" s="4">
        <f t="shared" si="17"/>
        <v>226</v>
      </c>
      <c r="O133" s="4">
        <f t="shared" si="18"/>
        <v>0</v>
      </c>
      <c r="P133" s="4">
        <f t="shared" ca="1" si="19"/>
        <v>60</v>
      </c>
    </row>
    <row r="134" spans="1:16" x14ac:dyDescent="0.3">
      <c r="A134" s="15" t="s">
        <v>293</v>
      </c>
      <c r="B134" s="16" t="s">
        <v>294</v>
      </c>
      <c r="C134" s="16" t="s">
        <v>38</v>
      </c>
      <c r="D134" s="16" t="s">
        <v>45</v>
      </c>
      <c r="E134" s="17">
        <v>45752</v>
      </c>
      <c r="F134" s="17">
        <v>45752</v>
      </c>
      <c r="G134" s="17">
        <v>46091</v>
      </c>
      <c r="H134" s="16">
        <v>12000</v>
      </c>
      <c r="I134" s="16" t="s">
        <v>16</v>
      </c>
      <c r="J134" s="16" t="s">
        <v>17</v>
      </c>
      <c r="K134" s="16" t="s">
        <v>31</v>
      </c>
      <c r="L134" s="16">
        <v>12000</v>
      </c>
      <c r="M134" s="16" t="str">
        <f t="shared" si="16"/>
        <v>Medium</v>
      </c>
      <c r="N134" s="16">
        <f t="shared" si="17"/>
        <v>339</v>
      </c>
      <c r="O134" s="16">
        <f t="shared" si="18"/>
        <v>1</v>
      </c>
      <c r="P134" s="16">
        <f t="shared" ca="1" si="19"/>
        <v>91</v>
      </c>
    </row>
    <row r="135" spans="1:16" x14ac:dyDescent="0.3">
      <c r="A135" s="13" t="s">
        <v>295</v>
      </c>
      <c r="B135" s="4" t="s">
        <v>296</v>
      </c>
      <c r="C135" s="4" t="s">
        <v>14</v>
      </c>
      <c r="D135" s="4" t="s">
        <v>30</v>
      </c>
      <c r="E135" s="14">
        <v>46134</v>
      </c>
      <c r="F135" s="14">
        <v>46134</v>
      </c>
      <c r="G135" s="14">
        <v>46120</v>
      </c>
      <c r="H135" s="4">
        <v>12000</v>
      </c>
      <c r="I135" s="4" t="s">
        <v>16</v>
      </c>
      <c r="J135" s="4" t="s">
        <v>35</v>
      </c>
      <c r="K135" s="4" t="s">
        <v>18</v>
      </c>
      <c r="L135" s="4">
        <v>12000</v>
      </c>
      <c r="M135" s="4" t="str">
        <f t="shared" si="16"/>
        <v>Medium</v>
      </c>
      <c r="N135" s="4">
        <f t="shared" si="17"/>
        <v>-14</v>
      </c>
      <c r="O135" s="4">
        <f t="shared" si="18"/>
        <v>1</v>
      </c>
      <c r="P135" s="4">
        <f t="shared" ca="1" si="19"/>
        <v>62</v>
      </c>
    </row>
    <row r="136" spans="1:16" x14ac:dyDescent="0.3">
      <c r="A136" s="15" t="s">
        <v>297</v>
      </c>
      <c r="B136" s="16" t="s">
        <v>298</v>
      </c>
      <c r="C136" s="16" t="s">
        <v>14</v>
      </c>
      <c r="D136" s="16" t="s">
        <v>30</v>
      </c>
      <c r="E136" s="17">
        <v>46148</v>
      </c>
      <c r="F136" s="17">
        <v>46037</v>
      </c>
      <c r="G136" s="17">
        <v>46343</v>
      </c>
      <c r="H136" s="16">
        <v>8000</v>
      </c>
      <c r="I136" s="16" t="s">
        <v>23</v>
      </c>
      <c r="J136" s="16" t="s">
        <v>17</v>
      </c>
      <c r="K136" s="16" t="s">
        <v>68</v>
      </c>
      <c r="L136" s="16">
        <v>8000</v>
      </c>
      <c r="M136" s="16" t="str">
        <f t="shared" si="16"/>
        <v>Low</v>
      </c>
      <c r="N136" s="16">
        <f t="shared" si="17"/>
        <v>195</v>
      </c>
      <c r="O136" s="16">
        <f t="shared" si="18"/>
        <v>0</v>
      </c>
      <c r="P136" s="16">
        <f t="shared" ca="1" si="19"/>
        <v>0</v>
      </c>
    </row>
    <row r="137" spans="1:16" x14ac:dyDescent="0.3">
      <c r="A137" s="13" t="s">
        <v>299</v>
      </c>
      <c r="B137" s="4" t="s">
        <v>300</v>
      </c>
      <c r="C137" s="4" t="s">
        <v>14</v>
      </c>
      <c r="D137" s="4" t="s">
        <v>45</v>
      </c>
      <c r="E137" s="14">
        <v>45948</v>
      </c>
      <c r="F137" s="14">
        <v>45948</v>
      </c>
      <c r="G137" s="14">
        <v>46159</v>
      </c>
      <c r="H137" s="4">
        <v>12000</v>
      </c>
      <c r="I137" s="4" t="s">
        <v>16</v>
      </c>
      <c r="J137" s="4" t="s">
        <v>17</v>
      </c>
      <c r="K137" s="4" t="s">
        <v>18</v>
      </c>
      <c r="L137" s="4">
        <v>12000</v>
      </c>
      <c r="M137" s="4" t="str">
        <f t="shared" si="16"/>
        <v>Medium</v>
      </c>
      <c r="N137" s="4">
        <f t="shared" si="17"/>
        <v>211</v>
      </c>
      <c r="O137" s="4">
        <f t="shared" si="18"/>
        <v>1</v>
      </c>
      <c r="P137" s="4">
        <f t="shared" ca="1" si="19"/>
        <v>23</v>
      </c>
    </row>
    <row r="138" spans="1:16" x14ac:dyDescent="0.3">
      <c r="A138" s="15" t="s">
        <v>301</v>
      </c>
      <c r="B138" s="16" t="s">
        <v>302</v>
      </c>
      <c r="C138" s="16" t="s">
        <v>21</v>
      </c>
      <c r="D138" s="16" t="s">
        <v>30</v>
      </c>
      <c r="E138" s="17">
        <v>45889</v>
      </c>
      <c r="F138" s="17">
        <v>45889</v>
      </c>
      <c r="G138" s="17">
        <v>46022</v>
      </c>
      <c r="H138" s="16">
        <v>8000</v>
      </c>
      <c r="I138" s="16" t="s">
        <v>16</v>
      </c>
      <c r="J138" s="16" t="s">
        <v>17</v>
      </c>
      <c r="K138" s="16" t="s">
        <v>26</v>
      </c>
      <c r="L138" s="16">
        <v>8000</v>
      </c>
      <c r="M138" s="16" t="str">
        <f t="shared" si="16"/>
        <v>Low</v>
      </c>
      <c r="N138" s="16">
        <f t="shared" si="17"/>
        <v>133</v>
      </c>
      <c r="O138" s="16">
        <f t="shared" si="18"/>
        <v>1</v>
      </c>
      <c r="P138" s="16">
        <f t="shared" ca="1" si="19"/>
        <v>160</v>
      </c>
    </row>
    <row r="139" spans="1:16" x14ac:dyDescent="0.3">
      <c r="A139" s="13" t="s">
        <v>303</v>
      </c>
      <c r="B139" s="4" t="s">
        <v>304</v>
      </c>
      <c r="C139" s="4" t="s">
        <v>29</v>
      </c>
      <c r="D139" s="4" t="s">
        <v>30</v>
      </c>
      <c r="E139" s="14">
        <v>46073</v>
      </c>
      <c r="F139" s="14">
        <v>46073</v>
      </c>
      <c r="G139" s="14">
        <v>46424</v>
      </c>
      <c r="H139" s="4">
        <v>18000</v>
      </c>
      <c r="I139" s="4" t="s">
        <v>16</v>
      </c>
      <c r="J139" s="4" t="s">
        <v>35</v>
      </c>
      <c r="K139" s="4" t="s">
        <v>31</v>
      </c>
      <c r="L139" s="4">
        <v>18000</v>
      </c>
      <c r="M139" s="4" t="str">
        <f t="shared" si="16"/>
        <v>High</v>
      </c>
      <c r="N139" s="4">
        <f t="shared" si="17"/>
        <v>351</v>
      </c>
      <c r="O139" s="4">
        <f t="shared" si="18"/>
        <v>1</v>
      </c>
      <c r="P139" s="4">
        <f t="shared" ca="1" si="19"/>
        <v>0</v>
      </c>
    </row>
    <row r="140" spans="1:16" x14ac:dyDescent="0.3">
      <c r="A140" s="15" t="s">
        <v>305</v>
      </c>
      <c r="B140" s="16" t="s">
        <v>306</v>
      </c>
      <c r="C140" s="16" t="s">
        <v>29</v>
      </c>
      <c r="D140" s="16" t="s">
        <v>22</v>
      </c>
      <c r="E140" s="17">
        <v>45811</v>
      </c>
      <c r="F140" s="17">
        <v>45811</v>
      </c>
      <c r="G140" s="17">
        <v>45997</v>
      </c>
      <c r="H140" s="16">
        <v>8000</v>
      </c>
      <c r="I140" s="16" t="s">
        <v>16</v>
      </c>
      <c r="J140" s="16" t="s">
        <v>17</v>
      </c>
      <c r="K140" s="16" t="s">
        <v>26</v>
      </c>
      <c r="L140" s="16">
        <v>8000</v>
      </c>
      <c r="M140" s="16" t="str">
        <f t="shared" si="16"/>
        <v>Low</v>
      </c>
      <c r="N140" s="16">
        <f t="shared" si="17"/>
        <v>186</v>
      </c>
      <c r="O140" s="16">
        <f t="shared" si="18"/>
        <v>1</v>
      </c>
      <c r="P140" s="16">
        <f t="shared" ca="1" si="19"/>
        <v>185</v>
      </c>
    </row>
    <row r="141" spans="1:16" x14ac:dyDescent="0.3">
      <c r="A141" s="13" t="s">
        <v>307</v>
      </c>
      <c r="B141" s="4" t="s">
        <v>308</v>
      </c>
      <c r="C141" s="4" t="s">
        <v>29</v>
      </c>
      <c r="D141" s="4" t="s">
        <v>45</v>
      </c>
      <c r="E141" s="14">
        <v>45913</v>
      </c>
      <c r="F141" s="14">
        <v>45913</v>
      </c>
      <c r="G141" s="14">
        <v>46277</v>
      </c>
      <c r="H141" s="4">
        <v>12000</v>
      </c>
      <c r="I141" s="4" t="s">
        <v>16</v>
      </c>
      <c r="J141" s="4" t="s">
        <v>17</v>
      </c>
      <c r="K141" s="4" t="s">
        <v>18</v>
      </c>
      <c r="L141" s="4">
        <v>12000</v>
      </c>
      <c r="M141" s="4" t="str">
        <f t="shared" si="16"/>
        <v>Medium</v>
      </c>
      <c r="N141" s="4">
        <f t="shared" si="17"/>
        <v>364</v>
      </c>
      <c r="O141" s="4">
        <f t="shared" si="18"/>
        <v>1</v>
      </c>
      <c r="P141" s="4">
        <f t="shared" ca="1" si="19"/>
        <v>0</v>
      </c>
    </row>
    <row r="142" spans="1:16" x14ac:dyDescent="0.3">
      <c r="A142" s="15" t="s">
        <v>309</v>
      </c>
      <c r="B142" s="16" t="s">
        <v>310</v>
      </c>
      <c r="C142" s="16" t="s">
        <v>14</v>
      </c>
      <c r="D142" s="16" t="s">
        <v>30</v>
      </c>
      <c r="E142" s="17">
        <v>46072</v>
      </c>
      <c r="F142" s="17">
        <v>46072</v>
      </c>
      <c r="G142" s="17">
        <v>46167</v>
      </c>
      <c r="H142" s="16">
        <v>15000</v>
      </c>
      <c r="I142" s="16" t="s">
        <v>16</v>
      </c>
      <c r="J142" s="16" t="s">
        <v>35</v>
      </c>
      <c r="K142" s="16" t="s">
        <v>68</v>
      </c>
      <c r="L142" s="16">
        <v>15000</v>
      </c>
      <c r="M142" s="16" t="str">
        <f t="shared" si="16"/>
        <v>High</v>
      </c>
      <c r="N142" s="16">
        <f t="shared" si="17"/>
        <v>95</v>
      </c>
      <c r="O142" s="16">
        <f t="shared" si="18"/>
        <v>1</v>
      </c>
      <c r="P142" s="16">
        <f t="shared" ca="1" si="19"/>
        <v>15</v>
      </c>
    </row>
    <row r="143" spans="1:16" x14ac:dyDescent="0.3">
      <c r="A143" s="13" t="s">
        <v>311</v>
      </c>
      <c r="B143" s="4" t="s">
        <v>312</v>
      </c>
      <c r="C143" s="4" t="s">
        <v>38</v>
      </c>
      <c r="D143" s="4" t="s">
        <v>30</v>
      </c>
      <c r="E143" s="14">
        <v>46039</v>
      </c>
      <c r="F143" s="14">
        <v>46039</v>
      </c>
      <c r="G143" s="14">
        <v>46174</v>
      </c>
      <c r="H143" s="4">
        <v>12000</v>
      </c>
      <c r="I143" s="4" t="s">
        <v>23</v>
      </c>
      <c r="J143" s="4" t="s">
        <v>35</v>
      </c>
      <c r="K143" s="4" t="s">
        <v>31</v>
      </c>
      <c r="L143" s="4">
        <v>12000</v>
      </c>
      <c r="M143" s="4" t="str">
        <f t="shared" si="16"/>
        <v>Medium</v>
      </c>
      <c r="N143" s="4">
        <f t="shared" si="17"/>
        <v>135</v>
      </c>
      <c r="O143" s="4">
        <f t="shared" si="18"/>
        <v>0</v>
      </c>
      <c r="P143" s="4">
        <f t="shared" ca="1" si="19"/>
        <v>8</v>
      </c>
    </row>
    <row r="144" spans="1:16" x14ac:dyDescent="0.3">
      <c r="A144" s="15" t="s">
        <v>313</v>
      </c>
      <c r="B144" s="16" t="s">
        <v>314</v>
      </c>
      <c r="C144" s="16" t="s">
        <v>29</v>
      </c>
      <c r="D144" s="16" t="s">
        <v>30</v>
      </c>
      <c r="E144" s="17">
        <v>46119</v>
      </c>
      <c r="F144" s="17">
        <v>46119</v>
      </c>
      <c r="G144" s="17">
        <v>46419</v>
      </c>
      <c r="H144" s="16">
        <v>8000</v>
      </c>
      <c r="I144" s="16" t="s">
        <v>23</v>
      </c>
      <c r="J144" s="16" t="s">
        <v>35</v>
      </c>
      <c r="K144" s="16" t="s">
        <v>18</v>
      </c>
      <c r="L144" s="16">
        <v>8000</v>
      </c>
      <c r="M144" s="16" t="str">
        <f t="shared" si="16"/>
        <v>Low</v>
      </c>
      <c r="N144" s="16">
        <f t="shared" si="17"/>
        <v>300</v>
      </c>
      <c r="O144" s="16">
        <f t="shared" si="18"/>
        <v>0</v>
      </c>
      <c r="P144" s="16">
        <f t="shared" ca="1" si="19"/>
        <v>0</v>
      </c>
    </row>
    <row r="145" spans="1:16" x14ac:dyDescent="0.3">
      <c r="A145" s="13" t="s">
        <v>315</v>
      </c>
      <c r="B145" s="4" t="s">
        <v>316</v>
      </c>
      <c r="C145" s="4" t="s">
        <v>14</v>
      </c>
      <c r="D145" s="4" t="s">
        <v>30</v>
      </c>
      <c r="E145" s="14">
        <v>45878</v>
      </c>
      <c r="F145" s="14">
        <v>45878</v>
      </c>
      <c r="G145" s="14">
        <v>46036</v>
      </c>
      <c r="H145" s="4">
        <v>18000</v>
      </c>
      <c r="I145" s="4" t="s">
        <v>16</v>
      </c>
      <c r="J145" s="4" t="s">
        <v>17</v>
      </c>
      <c r="K145" s="4" t="s">
        <v>31</v>
      </c>
      <c r="L145" s="4">
        <v>18000</v>
      </c>
      <c r="M145" s="4" t="str">
        <f t="shared" si="16"/>
        <v>High</v>
      </c>
      <c r="N145" s="4">
        <f t="shared" si="17"/>
        <v>158</v>
      </c>
      <c r="O145" s="4">
        <f t="shared" si="18"/>
        <v>1</v>
      </c>
      <c r="P145" s="4">
        <f t="shared" ca="1" si="19"/>
        <v>146</v>
      </c>
    </row>
    <row r="146" spans="1:16" x14ac:dyDescent="0.3">
      <c r="A146" s="15" t="s">
        <v>317</v>
      </c>
      <c r="B146" s="16" t="s">
        <v>318</v>
      </c>
      <c r="C146" s="16" t="s">
        <v>14</v>
      </c>
      <c r="D146" s="16" t="s">
        <v>45</v>
      </c>
      <c r="E146" s="17">
        <v>45982</v>
      </c>
      <c r="F146" s="17">
        <v>45982</v>
      </c>
      <c r="G146" s="17">
        <v>46202</v>
      </c>
      <c r="H146" s="16">
        <v>15000</v>
      </c>
      <c r="I146" s="16" t="s">
        <v>16</v>
      </c>
      <c r="J146" s="16" t="s">
        <v>17</v>
      </c>
      <c r="K146" s="16" t="s">
        <v>26</v>
      </c>
      <c r="L146" s="16">
        <v>15000</v>
      </c>
      <c r="M146" s="16" t="str">
        <f t="shared" si="16"/>
        <v>High</v>
      </c>
      <c r="N146" s="16">
        <f t="shared" si="17"/>
        <v>220</v>
      </c>
      <c r="O146" s="16">
        <f t="shared" si="18"/>
        <v>1</v>
      </c>
      <c r="P146" s="16">
        <f t="shared" ca="1" si="19"/>
        <v>0</v>
      </c>
    </row>
    <row r="147" spans="1:16" x14ac:dyDescent="0.3">
      <c r="A147" s="13" t="s">
        <v>319</v>
      </c>
      <c r="B147" s="4" t="s">
        <v>320</v>
      </c>
      <c r="C147" s="4" t="s">
        <v>38</v>
      </c>
      <c r="D147" s="4" t="s">
        <v>45</v>
      </c>
      <c r="E147" s="14">
        <v>45750</v>
      </c>
      <c r="F147" s="14">
        <v>45750</v>
      </c>
      <c r="G147" s="14">
        <v>45867</v>
      </c>
      <c r="H147" s="4">
        <v>18000</v>
      </c>
      <c r="I147" s="4" t="s">
        <v>16</v>
      </c>
      <c r="J147" s="4" t="s">
        <v>17</v>
      </c>
      <c r="K147" s="4" t="s">
        <v>18</v>
      </c>
      <c r="L147" s="4">
        <v>18000</v>
      </c>
      <c r="M147" s="4" t="str">
        <f t="shared" si="16"/>
        <v>High</v>
      </c>
      <c r="N147" s="4">
        <f t="shared" si="17"/>
        <v>117</v>
      </c>
      <c r="O147" s="4">
        <f t="shared" si="18"/>
        <v>1</v>
      </c>
      <c r="P147" s="4">
        <f t="shared" ca="1" si="19"/>
        <v>315</v>
      </c>
    </row>
    <row r="148" spans="1:16" x14ac:dyDescent="0.3">
      <c r="A148" s="15" t="s">
        <v>321</v>
      </c>
      <c r="B148" s="16" t="s">
        <v>322</v>
      </c>
      <c r="C148" s="16" t="s">
        <v>14</v>
      </c>
      <c r="D148" s="16" t="s">
        <v>30</v>
      </c>
      <c r="E148" s="17">
        <v>45925</v>
      </c>
      <c r="F148" s="17">
        <v>45925</v>
      </c>
      <c r="G148" s="17">
        <v>46219</v>
      </c>
      <c r="H148" s="16">
        <v>10000</v>
      </c>
      <c r="I148" s="16" t="s">
        <v>23</v>
      </c>
      <c r="J148" s="16" t="s">
        <v>35</v>
      </c>
      <c r="K148" s="16" t="s">
        <v>31</v>
      </c>
      <c r="L148" s="16">
        <v>10000</v>
      </c>
      <c r="M148" s="16" t="str">
        <f t="shared" si="16"/>
        <v>Medium</v>
      </c>
      <c r="N148" s="16">
        <f t="shared" si="17"/>
        <v>294</v>
      </c>
      <c r="O148" s="16">
        <f t="shared" si="18"/>
        <v>0</v>
      </c>
      <c r="P148" s="16">
        <f t="shared" ca="1" si="19"/>
        <v>0</v>
      </c>
    </row>
    <row r="149" spans="1:16" x14ac:dyDescent="0.3">
      <c r="A149" s="13" t="s">
        <v>323</v>
      </c>
      <c r="B149" s="4" t="s">
        <v>324</v>
      </c>
      <c r="C149" s="4" t="s">
        <v>14</v>
      </c>
      <c r="D149" s="4" t="s">
        <v>30</v>
      </c>
      <c r="E149" s="14">
        <v>45818</v>
      </c>
      <c r="F149" s="14">
        <v>45818</v>
      </c>
      <c r="G149" s="14">
        <v>46006</v>
      </c>
      <c r="H149" s="4">
        <v>10000</v>
      </c>
      <c r="I149" s="4" t="s">
        <v>16</v>
      </c>
      <c r="J149" s="4" t="s">
        <v>35</v>
      </c>
      <c r="K149" s="4" t="s">
        <v>26</v>
      </c>
      <c r="L149" s="4">
        <v>10000</v>
      </c>
      <c r="M149" s="4" t="str">
        <f t="shared" si="16"/>
        <v>Medium</v>
      </c>
      <c r="N149" s="4">
        <f t="shared" si="17"/>
        <v>188</v>
      </c>
      <c r="O149" s="4">
        <f t="shared" si="18"/>
        <v>1</v>
      </c>
      <c r="P149" s="4">
        <f t="shared" ca="1" si="19"/>
        <v>176</v>
      </c>
    </row>
    <row r="150" spans="1:16" x14ac:dyDescent="0.3">
      <c r="A150" s="15" t="s">
        <v>325</v>
      </c>
      <c r="B150" s="16" t="s">
        <v>326</v>
      </c>
      <c r="C150" s="16" t="s">
        <v>21</v>
      </c>
      <c r="D150" s="16" t="s">
        <v>22</v>
      </c>
      <c r="E150" s="17">
        <v>46016</v>
      </c>
      <c r="F150" s="17">
        <v>46016</v>
      </c>
      <c r="G150" s="17">
        <v>46145</v>
      </c>
      <c r="H150" s="16">
        <v>18000</v>
      </c>
      <c r="I150" s="16" t="s">
        <v>16</v>
      </c>
      <c r="J150" s="16" t="s">
        <v>17</v>
      </c>
      <c r="K150" s="16" t="s">
        <v>68</v>
      </c>
      <c r="L150" s="16">
        <v>18000</v>
      </c>
      <c r="M150" s="16" t="str">
        <f t="shared" si="16"/>
        <v>High</v>
      </c>
      <c r="N150" s="16">
        <f t="shared" si="17"/>
        <v>129</v>
      </c>
      <c r="O150" s="16">
        <f t="shared" si="18"/>
        <v>1</v>
      </c>
      <c r="P150" s="16">
        <f t="shared" ca="1" si="19"/>
        <v>37</v>
      </c>
    </row>
    <row r="151" spans="1:16" x14ac:dyDescent="0.3">
      <c r="A151" s="13" t="s">
        <v>327</v>
      </c>
      <c r="B151" s="4" t="s">
        <v>328</v>
      </c>
      <c r="C151" s="4" t="s">
        <v>29</v>
      </c>
      <c r="D151" s="4" t="s">
        <v>30</v>
      </c>
      <c r="E151" s="14">
        <v>45704</v>
      </c>
      <c r="F151" s="14">
        <v>45704</v>
      </c>
      <c r="G151" s="14">
        <v>45927</v>
      </c>
      <c r="H151" s="4">
        <v>10000</v>
      </c>
      <c r="I151" s="4" t="s">
        <v>16</v>
      </c>
      <c r="J151" s="4" t="s">
        <v>17</v>
      </c>
      <c r="K151" s="4" t="s">
        <v>68</v>
      </c>
      <c r="L151" s="4">
        <v>10000</v>
      </c>
      <c r="M151" s="4" t="str">
        <f t="shared" si="16"/>
        <v>Medium</v>
      </c>
      <c r="N151" s="4">
        <f t="shared" si="17"/>
        <v>223</v>
      </c>
      <c r="O151" s="4">
        <f t="shared" si="18"/>
        <v>1</v>
      </c>
      <c r="P151" s="4">
        <f t="shared" ca="1" si="19"/>
        <v>255</v>
      </c>
    </row>
    <row r="152" spans="1:16" x14ac:dyDescent="0.3">
      <c r="A152" s="15" t="s">
        <v>329</v>
      </c>
      <c r="B152" s="16" t="s">
        <v>330</v>
      </c>
      <c r="C152" s="16" t="s">
        <v>21</v>
      </c>
      <c r="D152" s="16" t="s">
        <v>30</v>
      </c>
      <c r="E152" s="17">
        <v>45837</v>
      </c>
      <c r="F152" s="17">
        <v>45837</v>
      </c>
      <c r="G152" s="17">
        <v>46018</v>
      </c>
      <c r="H152" s="16">
        <v>15000</v>
      </c>
      <c r="I152" s="16" t="s">
        <v>16</v>
      </c>
      <c r="J152" s="16" t="s">
        <v>35</v>
      </c>
      <c r="K152" s="16" t="s">
        <v>26</v>
      </c>
      <c r="L152" s="16">
        <v>15000</v>
      </c>
      <c r="M152" s="16" t="str">
        <f t="shared" si="16"/>
        <v>High</v>
      </c>
      <c r="N152" s="16">
        <f t="shared" si="17"/>
        <v>181</v>
      </c>
      <c r="O152" s="16">
        <f t="shared" si="18"/>
        <v>1</v>
      </c>
      <c r="P152" s="16">
        <f t="shared" ca="1" si="19"/>
        <v>164</v>
      </c>
    </row>
    <row r="153" spans="1:16" x14ac:dyDescent="0.3">
      <c r="A153" s="13" t="s">
        <v>331</v>
      </c>
      <c r="B153" s="4" t="s">
        <v>332</v>
      </c>
      <c r="C153" s="4" t="s">
        <v>21</v>
      </c>
      <c r="D153" s="4" t="s">
        <v>45</v>
      </c>
      <c r="E153" s="14">
        <v>46172</v>
      </c>
      <c r="F153" s="14">
        <v>46008</v>
      </c>
      <c r="G153" s="14">
        <v>46183</v>
      </c>
      <c r="H153" s="4">
        <v>18000</v>
      </c>
      <c r="I153" s="4" t="s">
        <v>23</v>
      </c>
      <c r="J153" s="4" t="s">
        <v>17</v>
      </c>
      <c r="K153" s="4" t="s">
        <v>31</v>
      </c>
      <c r="L153" s="4">
        <v>18000</v>
      </c>
      <c r="M153" s="4" t="str">
        <f t="shared" si="16"/>
        <v>High</v>
      </c>
      <c r="N153" s="4">
        <f t="shared" si="17"/>
        <v>11</v>
      </c>
      <c r="O153" s="4">
        <f t="shared" si="18"/>
        <v>0</v>
      </c>
      <c r="P153" s="4">
        <f t="shared" ca="1" si="19"/>
        <v>0</v>
      </c>
    </row>
    <row r="154" spans="1:16" x14ac:dyDescent="0.3">
      <c r="A154" s="15" t="s">
        <v>333</v>
      </c>
      <c r="B154" s="16" t="s">
        <v>334</v>
      </c>
      <c r="C154" s="16" t="s">
        <v>38</v>
      </c>
      <c r="D154" s="16" t="s">
        <v>22</v>
      </c>
      <c r="E154" s="17">
        <v>46032</v>
      </c>
      <c r="F154" s="17">
        <v>46032</v>
      </c>
      <c r="G154" s="17">
        <v>46187</v>
      </c>
      <c r="H154" s="16">
        <v>12000</v>
      </c>
      <c r="I154" s="16" t="s">
        <v>23</v>
      </c>
      <c r="J154" s="16" t="s">
        <v>35</v>
      </c>
      <c r="K154" s="16" t="s">
        <v>18</v>
      </c>
      <c r="L154" s="16">
        <v>12000</v>
      </c>
      <c r="M154" s="16" t="str">
        <f t="shared" si="16"/>
        <v>Medium</v>
      </c>
      <c r="N154" s="16">
        <f t="shared" si="17"/>
        <v>155</v>
      </c>
      <c r="O154" s="16">
        <f t="shared" si="18"/>
        <v>0</v>
      </c>
      <c r="P154" s="16">
        <f t="shared" ca="1" si="19"/>
        <v>0</v>
      </c>
    </row>
    <row r="155" spans="1:16" x14ac:dyDescent="0.3">
      <c r="A155" s="13" t="s">
        <v>335</v>
      </c>
      <c r="B155" s="4" t="s">
        <v>336</v>
      </c>
      <c r="C155" s="4" t="s">
        <v>29</v>
      </c>
      <c r="D155" s="4" t="s">
        <v>30</v>
      </c>
      <c r="E155" s="14">
        <v>45827</v>
      </c>
      <c r="F155" s="14">
        <v>45827</v>
      </c>
      <c r="G155" s="14">
        <v>46102</v>
      </c>
      <c r="H155" s="4">
        <v>12000</v>
      </c>
      <c r="I155" s="4" t="s">
        <v>16</v>
      </c>
      <c r="J155" s="4" t="s">
        <v>17</v>
      </c>
      <c r="K155" s="4" t="s">
        <v>31</v>
      </c>
      <c r="L155" s="4">
        <v>12000</v>
      </c>
      <c r="M155" s="4" t="str">
        <f t="shared" si="16"/>
        <v>Medium</v>
      </c>
      <c r="N155" s="4">
        <f t="shared" si="17"/>
        <v>275</v>
      </c>
      <c r="O155" s="4">
        <f t="shared" si="18"/>
        <v>1</v>
      </c>
      <c r="P155" s="4">
        <f t="shared" ca="1" si="19"/>
        <v>80</v>
      </c>
    </row>
    <row r="156" spans="1:16" x14ac:dyDescent="0.3">
      <c r="A156" s="15" t="s">
        <v>337</v>
      </c>
      <c r="B156" s="16" t="s">
        <v>338</v>
      </c>
      <c r="C156" s="16" t="s">
        <v>21</v>
      </c>
      <c r="D156" s="16" t="s">
        <v>22</v>
      </c>
      <c r="E156" s="17">
        <v>46079</v>
      </c>
      <c r="F156" s="17">
        <v>46079</v>
      </c>
      <c r="G156" s="17">
        <v>46426</v>
      </c>
      <c r="H156" s="16">
        <v>12000</v>
      </c>
      <c r="I156" s="16" t="s">
        <v>23</v>
      </c>
      <c r="J156" s="16" t="s">
        <v>35</v>
      </c>
      <c r="K156" s="16" t="s">
        <v>31</v>
      </c>
      <c r="L156" s="16">
        <v>12000</v>
      </c>
      <c r="M156" s="16" t="str">
        <f t="shared" si="16"/>
        <v>Medium</v>
      </c>
      <c r="N156" s="16">
        <f t="shared" si="17"/>
        <v>347</v>
      </c>
      <c r="O156" s="16">
        <f t="shared" si="18"/>
        <v>0</v>
      </c>
      <c r="P156" s="16">
        <f t="shared" ca="1" si="19"/>
        <v>0</v>
      </c>
    </row>
    <row r="157" spans="1:16" x14ac:dyDescent="0.3">
      <c r="A157" s="13" t="s">
        <v>339</v>
      </c>
      <c r="B157" s="4" t="s">
        <v>340</v>
      </c>
      <c r="C157" s="4" t="s">
        <v>14</v>
      </c>
      <c r="D157" s="4" t="s">
        <v>30</v>
      </c>
      <c r="E157" s="14">
        <v>46139</v>
      </c>
      <c r="F157" s="14">
        <v>46139</v>
      </c>
      <c r="G157" s="14">
        <v>46398</v>
      </c>
      <c r="H157" s="4">
        <v>8000</v>
      </c>
      <c r="I157" s="4" t="s">
        <v>16</v>
      </c>
      <c r="J157" s="4" t="s">
        <v>17</v>
      </c>
      <c r="K157" s="4" t="s">
        <v>26</v>
      </c>
      <c r="L157" s="4">
        <v>8000</v>
      </c>
      <c r="M157" s="4" t="str">
        <f t="shared" si="16"/>
        <v>Low</v>
      </c>
      <c r="N157" s="4">
        <f t="shared" si="17"/>
        <v>259</v>
      </c>
      <c r="O157" s="4">
        <f t="shared" si="18"/>
        <v>1</v>
      </c>
      <c r="P157" s="4">
        <f t="shared" ca="1" si="19"/>
        <v>0</v>
      </c>
    </row>
    <row r="158" spans="1:16" x14ac:dyDescent="0.3">
      <c r="A158" s="15" t="s">
        <v>341</v>
      </c>
      <c r="B158" s="16" t="s">
        <v>342</v>
      </c>
      <c r="C158" s="16" t="s">
        <v>21</v>
      </c>
      <c r="D158" s="16" t="s">
        <v>30</v>
      </c>
      <c r="E158" s="17">
        <v>45929</v>
      </c>
      <c r="F158" s="17">
        <v>45929</v>
      </c>
      <c r="G158" s="17">
        <v>46050</v>
      </c>
      <c r="H158" s="16">
        <v>12000</v>
      </c>
      <c r="I158" s="16" t="s">
        <v>23</v>
      </c>
      <c r="J158" s="16" t="s">
        <v>17</v>
      </c>
      <c r="K158" s="16" t="s">
        <v>68</v>
      </c>
      <c r="L158" s="16">
        <v>12000</v>
      </c>
      <c r="M158" s="16" t="str">
        <f t="shared" si="16"/>
        <v>Medium</v>
      </c>
      <c r="N158" s="16">
        <f t="shared" si="17"/>
        <v>121</v>
      </c>
      <c r="O158" s="16">
        <f t="shared" si="18"/>
        <v>0</v>
      </c>
      <c r="P158" s="16">
        <f t="shared" ca="1" si="19"/>
        <v>132</v>
      </c>
    </row>
    <row r="159" spans="1:16" x14ac:dyDescent="0.3">
      <c r="A159" s="13" t="s">
        <v>343</v>
      </c>
      <c r="B159" s="4" t="s">
        <v>344</v>
      </c>
      <c r="C159" s="4" t="s">
        <v>38</v>
      </c>
      <c r="D159" s="4" t="s">
        <v>30</v>
      </c>
      <c r="E159" s="14">
        <v>46003</v>
      </c>
      <c r="F159" s="14">
        <v>46003</v>
      </c>
      <c r="G159" s="14">
        <v>46286</v>
      </c>
      <c r="H159" s="4">
        <v>12000</v>
      </c>
      <c r="I159" s="4" t="s">
        <v>23</v>
      </c>
      <c r="J159" s="4" t="s">
        <v>35</v>
      </c>
      <c r="K159" s="4" t="s">
        <v>31</v>
      </c>
      <c r="L159" s="4">
        <v>12000</v>
      </c>
      <c r="M159" s="4" t="str">
        <f t="shared" si="16"/>
        <v>Medium</v>
      </c>
      <c r="N159" s="4">
        <f t="shared" si="17"/>
        <v>283</v>
      </c>
      <c r="O159" s="4">
        <f t="shared" si="18"/>
        <v>0</v>
      </c>
      <c r="P159" s="4">
        <f t="shared" ca="1" si="19"/>
        <v>0</v>
      </c>
    </row>
    <row r="160" spans="1:16" x14ac:dyDescent="0.3">
      <c r="A160" s="15" t="s">
        <v>345</v>
      </c>
      <c r="B160" s="16" t="s">
        <v>346</v>
      </c>
      <c r="C160" s="16" t="s">
        <v>29</v>
      </c>
      <c r="D160" s="16" t="s">
        <v>30</v>
      </c>
      <c r="E160" s="17">
        <v>46111</v>
      </c>
      <c r="F160" s="17">
        <v>46111</v>
      </c>
      <c r="G160" s="17">
        <v>46460</v>
      </c>
      <c r="H160" s="16">
        <v>18000</v>
      </c>
      <c r="I160" s="16" t="s">
        <v>16</v>
      </c>
      <c r="J160" s="16" t="s">
        <v>35</v>
      </c>
      <c r="K160" s="16" t="s">
        <v>26</v>
      </c>
      <c r="L160" s="16">
        <v>18000</v>
      </c>
      <c r="M160" s="16" t="str">
        <f t="shared" si="16"/>
        <v>High</v>
      </c>
      <c r="N160" s="16">
        <f t="shared" si="17"/>
        <v>349</v>
      </c>
      <c r="O160" s="16">
        <f t="shared" si="18"/>
        <v>1</v>
      </c>
      <c r="P160" s="16">
        <f t="shared" ca="1" si="19"/>
        <v>0</v>
      </c>
    </row>
    <row r="161" spans="1:16" x14ac:dyDescent="0.3">
      <c r="A161" s="13" t="s">
        <v>347</v>
      </c>
      <c r="B161" s="4" t="s">
        <v>348</v>
      </c>
      <c r="C161" s="4" t="s">
        <v>21</v>
      </c>
      <c r="D161" s="4" t="s">
        <v>22</v>
      </c>
      <c r="E161" s="14">
        <v>46021</v>
      </c>
      <c r="F161" s="14">
        <v>46021</v>
      </c>
      <c r="G161" s="14">
        <v>46234</v>
      </c>
      <c r="H161" s="4">
        <v>18000</v>
      </c>
      <c r="I161" s="4" t="s">
        <v>16</v>
      </c>
      <c r="J161" s="4" t="s">
        <v>35</v>
      </c>
      <c r="K161" s="4" t="s">
        <v>18</v>
      </c>
      <c r="L161" s="4">
        <v>18000</v>
      </c>
      <c r="M161" s="4" t="str">
        <f t="shared" si="16"/>
        <v>High</v>
      </c>
      <c r="N161" s="4">
        <f t="shared" si="17"/>
        <v>213</v>
      </c>
      <c r="O161" s="4">
        <f t="shared" si="18"/>
        <v>1</v>
      </c>
      <c r="P161" s="4">
        <f t="shared" ca="1" si="19"/>
        <v>0</v>
      </c>
    </row>
    <row r="162" spans="1:16" x14ac:dyDescent="0.3">
      <c r="A162" s="15" t="s">
        <v>349</v>
      </c>
      <c r="B162" s="16" t="s">
        <v>350</v>
      </c>
      <c r="C162" s="16" t="s">
        <v>29</v>
      </c>
      <c r="D162" s="16" t="s">
        <v>30</v>
      </c>
      <c r="E162" s="17">
        <v>45805</v>
      </c>
      <c r="F162" s="17">
        <v>45805</v>
      </c>
      <c r="G162" s="17">
        <v>45921</v>
      </c>
      <c r="H162" s="16">
        <v>12000</v>
      </c>
      <c r="I162" s="16" t="s">
        <v>23</v>
      </c>
      <c r="J162" s="16" t="s">
        <v>17</v>
      </c>
      <c r="K162" s="16" t="s">
        <v>68</v>
      </c>
      <c r="L162" s="16">
        <v>12000</v>
      </c>
      <c r="M162" s="16" t="str">
        <f t="shared" ref="M162:M193" si="20">IF(H162&gt;=15000,"High",IF(H162&gt;=10000,"Medium","Low"))</f>
        <v>Medium</v>
      </c>
      <c r="N162" s="16">
        <f t="shared" ref="N162:N193" si="21">G162-E162</f>
        <v>116</v>
      </c>
      <c r="O162" s="16">
        <f t="shared" ref="O162:O193" si="22">IF(I162="Occupied",1,0)</f>
        <v>0</v>
      </c>
      <c r="P162" s="16">
        <f t="shared" ref="P162:P193" ca="1" si="23">IF(G162&lt;TODAY(),TODAY()-G162,0)</f>
        <v>261</v>
      </c>
    </row>
    <row r="163" spans="1:16" x14ac:dyDescent="0.3">
      <c r="A163" s="13" t="s">
        <v>351</v>
      </c>
      <c r="B163" s="4" t="s">
        <v>352</v>
      </c>
      <c r="C163" s="4" t="s">
        <v>14</v>
      </c>
      <c r="D163" s="4" t="s">
        <v>30</v>
      </c>
      <c r="E163" s="14">
        <v>45745</v>
      </c>
      <c r="F163" s="14">
        <v>45745</v>
      </c>
      <c r="G163" s="14">
        <v>46027</v>
      </c>
      <c r="H163" s="4">
        <v>12000</v>
      </c>
      <c r="I163" s="4" t="s">
        <v>23</v>
      </c>
      <c r="J163" s="4" t="s">
        <v>17</v>
      </c>
      <c r="K163" s="4" t="s">
        <v>26</v>
      </c>
      <c r="L163" s="4">
        <v>12000</v>
      </c>
      <c r="M163" s="4" t="str">
        <f t="shared" si="20"/>
        <v>Medium</v>
      </c>
      <c r="N163" s="4">
        <f t="shared" si="21"/>
        <v>282</v>
      </c>
      <c r="O163" s="4">
        <f t="shared" si="22"/>
        <v>0</v>
      </c>
      <c r="P163" s="4">
        <f t="shared" ca="1" si="23"/>
        <v>155</v>
      </c>
    </row>
    <row r="164" spans="1:16" x14ac:dyDescent="0.3">
      <c r="A164" s="15" t="s">
        <v>353</v>
      </c>
      <c r="B164" s="16" t="s">
        <v>354</v>
      </c>
      <c r="C164" s="16" t="s">
        <v>21</v>
      </c>
      <c r="D164" s="16" t="s">
        <v>30</v>
      </c>
      <c r="E164" s="17">
        <v>45814</v>
      </c>
      <c r="F164" s="17">
        <v>45814</v>
      </c>
      <c r="G164" s="17">
        <v>45941</v>
      </c>
      <c r="H164" s="16">
        <v>12000</v>
      </c>
      <c r="I164" s="16" t="s">
        <v>16</v>
      </c>
      <c r="J164" s="16" t="s">
        <v>17</v>
      </c>
      <c r="K164" s="16" t="s">
        <v>68</v>
      </c>
      <c r="L164" s="16">
        <v>12000</v>
      </c>
      <c r="M164" s="16" t="str">
        <f t="shared" si="20"/>
        <v>Medium</v>
      </c>
      <c r="N164" s="16">
        <f t="shared" si="21"/>
        <v>127</v>
      </c>
      <c r="O164" s="16">
        <f t="shared" si="22"/>
        <v>1</v>
      </c>
      <c r="P164" s="16">
        <f t="shared" ca="1" si="23"/>
        <v>241</v>
      </c>
    </row>
    <row r="165" spans="1:16" x14ac:dyDescent="0.3">
      <c r="A165" s="13" t="s">
        <v>355</v>
      </c>
      <c r="B165" s="4" t="s">
        <v>356</v>
      </c>
      <c r="C165" s="4" t="s">
        <v>38</v>
      </c>
      <c r="D165" s="4" t="s">
        <v>30</v>
      </c>
      <c r="E165" s="14">
        <v>45756</v>
      </c>
      <c r="F165" s="14">
        <v>45756</v>
      </c>
      <c r="G165" s="14">
        <v>46167</v>
      </c>
      <c r="H165" s="4">
        <v>12000</v>
      </c>
      <c r="I165" s="4" t="s">
        <v>16</v>
      </c>
      <c r="J165" s="4" t="s">
        <v>35</v>
      </c>
      <c r="K165" s="4" t="s">
        <v>68</v>
      </c>
      <c r="L165" s="4">
        <v>12000</v>
      </c>
      <c r="M165" s="4" t="str">
        <f t="shared" si="20"/>
        <v>Medium</v>
      </c>
      <c r="N165" s="4">
        <f t="shared" si="21"/>
        <v>411</v>
      </c>
      <c r="O165" s="4">
        <f t="shared" si="22"/>
        <v>1</v>
      </c>
      <c r="P165" s="4">
        <f t="shared" ca="1" si="23"/>
        <v>15</v>
      </c>
    </row>
    <row r="166" spans="1:16" x14ac:dyDescent="0.3">
      <c r="A166" s="15" t="s">
        <v>357</v>
      </c>
      <c r="B166" s="16" t="s">
        <v>358</v>
      </c>
      <c r="C166" s="16" t="s">
        <v>21</v>
      </c>
      <c r="D166" s="16" t="s">
        <v>30</v>
      </c>
      <c r="E166" s="17">
        <v>45679</v>
      </c>
      <c r="F166" s="17">
        <v>45679</v>
      </c>
      <c r="G166" s="17">
        <v>45969</v>
      </c>
      <c r="H166" s="16">
        <v>8000</v>
      </c>
      <c r="I166" s="16" t="s">
        <v>23</v>
      </c>
      <c r="J166" s="16" t="s">
        <v>17</v>
      </c>
      <c r="K166" s="16" t="s">
        <v>31</v>
      </c>
      <c r="L166" s="16">
        <v>8000</v>
      </c>
      <c r="M166" s="16" t="str">
        <f t="shared" si="20"/>
        <v>Low</v>
      </c>
      <c r="N166" s="16">
        <f t="shared" si="21"/>
        <v>290</v>
      </c>
      <c r="O166" s="16">
        <f t="shared" si="22"/>
        <v>0</v>
      </c>
      <c r="P166" s="16">
        <f t="shared" ca="1" si="23"/>
        <v>213</v>
      </c>
    </row>
    <row r="167" spans="1:16" x14ac:dyDescent="0.3">
      <c r="A167" s="13" t="s">
        <v>359</v>
      </c>
      <c r="B167" s="4" t="s">
        <v>360</v>
      </c>
      <c r="C167" s="4" t="s">
        <v>14</v>
      </c>
      <c r="D167" s="4" t="s">
        <v>30</v>
      </c>
      <c r="E167" s="14">
        <v>46085</v>
      </c>
      <c r="F167" s="14">
        <v>46085</v>
      </c>
      <c r="G167" s="14">
        <v>46309</v>
      </c>
      <c r="H167" s="4">
        <v>10000</v>
      </c>
      <c r="I167" s="4" t="s">
        <v>16</v>
      </c>
      <c r="J167" s="4" t="s">
        <v>35</v>
      </c>
      <c r="K167" s="4" t="s">
        <v>18</v>
      </c>
      <c r="L167" s="4">
        <v>10000</v>
      </c>
      <c r="M167" s="4" t="str">
        <f t="shared" si="20"/>
        <v>Medium</v>
      </c>
      <c r="N167" s="4">
        <f t="shared" si="21"/>
        <v>224</v>
      </c>
      <c r="O167" s="4">
        <f t="shared" si="22"/>
        <v>1</v>
      </c>
      <c r="P167" s="4">
        <f t="shared" ca="1" si="23"/>
        <v>0</v>
      </c>
    </row>
    <row r="168" spans="1:16" x14ac:dyDescent="0.3">
      <c r="A168" s="15" t="s">
        <v>361</v>
      </c>
      <c r="B168" s="16" t="s">
        <v>362</v>
      </c>
      <c r="C168" s="16" t="s">
        <v>29</v>
      </c>
      <c r="D168" s="16" t="s">
        <v>45</v>
      </c>
      <c r="E168" s="17">
        <v>45942</v>
      </c>
      <c r="F168" s="17">
        <v>45942</v>
      </c>
      <c r="G168" s="17">
        <v>46278</v>
      </c>
      <c r="H168" s="16">
        <v>8000</v>
      </c>
      <c r="I168" s="16" t="s">
        <v>23</v>
      </c>
      <c r="J168" s="16" t="s">
        <v>35</v>
      </c>
      <c r="K168" s="16" t="s">
        <v>26</v>
      </c>
      <c r="L168" s="16">
        <v>8000</v>
      </c>
      <c r="M168" s="16" t="str">
        <f t="shared" si="20"/>
        <v>Low</v>
      </c>
      <c r="N168" s="16">
        <f t="shared" si="21"/>
        <v>336</v>
      </c>
      <c r="O168" s="16">
        <f t="shared" si="22"/>
        <v>0</v>
      </c>
      <c r="P168" s="16">
        <f t="shared" ca="1" si="23"/>
        <v>0</v>
      </c>
    </row>
    <row r="169" spans="1:16" x14ac:dyDescent="0.3">
      <c r="A169" s="13" t="s">
        <v>363</v>
      </c>
      <c r="B169" s="4" t="s">
        <v>364</v>
      </c>
      <c r="C169" s="4" t="s">
        <v>21</v>
      </c>
      <c r="D169" s="4" t="s">
        <v>22</v>
      </c>
      <c r="E169" s="14">
        <v>46038</v>
      </c>
      <c r="F169" s="14">
        <v>46038</v>
      </c>
      <c r="G169" s="14">
        <v>46141</v>
      </c>
      <c r="H169" s="4">
        <v>12000</v>
      </c>
      <c r="I169" s="4" t="s">
        <v>16</v>
      </c>
      <c r="J169" s="4" t="s">
        <v>35</v>
      </c>
      <c r="K169" s="4" t="s">
        <v>31</v>
      </c>
      <c r="L169" s="4">
        <v>12000</v>
      </c>
      <c r="M169" s="4" t="str">
        <f t="shared" si="20"/>
        <v>Medium</v>
      </c>
      <c r="N169" s="4">
        <f t="shared" si="21"/>
        <v>103</v>
      </c>
      <c r="O169" s="4">
        <f t="shared" si="22"/>
        <v>1</v>
      </c>
      <c r="P169" s="4">
        <f t="shared" ca="1" si="23"/>
        <v>41</v>
      </c>
    </row>
    <row r="170" spans="1:16" x14ac:dyDescent="0.3">
      <c r="A170" s="15" t="s">
        <v>365</v>
      </c>
      <c r="B170" s="16" t="s">
        <v>366</v>
      </c>
      <c r="C170" s="16" t="s">
        <v>29</v>
      </c>
      <c r="D170" s="16" t="s">
        <v>45</v>
      </c>
      <c r="E170" s="17">
        <v>46166</v>
      </c>
      <c r="F170" s="17">
        <v>45898</v>
      </c>
      <c r="G170" s="17">
        <v>46125</v>
      </c>
      <c r="H170" s="16">
        <v>8000</v>
      </c>
      <c r="I170" s="16" t="s">
        <v>23</v>
      </c>
      <c r="J170" s="16" t="s">
        <v>17</v>
      </c>
      <c r="K170" s="16" t="s">
        <v>31</v>
      </c>
      <c r="L170" s="16">
        <v>8000</v>
      </c>
      <c r="M170" s="16" t="str">
        <f t="shared" si="20"/>
        <v>Low</v>
      </c>
      <c r="N170" s="16">
        <f t="shared" si="21"/>
        <v>-41</v>
      </c>
      <c r="O170" s="16">
        <f t="shared" si="22"/>
        <v>0</v>
      </c>
      <c r="P170" s="16">
        <f t="shared" ca="1" si="23"/>
        <v>57</v>
      </c>
    </row>
    <row r="171" spans="1:16" x14ac:dyDescent="0.3">
      <c r="A171" s="13" t="s">
        <v>367</v>
      </c>
      <c r="B171" s="4" t="s">
        <v>368</v>
      </c>
      <c r="C171" s="4" t="s">
        <v>21</v>
      </c>
      <c r="D171" s="4" t="s">
        <v>30</v>
      </c>
      <c r="E171" s="14">
        <v>46112</v>
      </c>
      <c r="F171" s="14">
        <v>46112</v>
      </c>
      <c r="G171" s="14">
        <v>46360</v>
      </c>
      <c r="H171" s="4">
        <v>15000</v>
      </c>
      <c r="I171" s="4" t="s">
        <v>16</v>
      </c>
      <c r="J171" s="4" t="s">
        <v>35</v>
      </c>
      <c r="K171" s="4" t="s">
        <v>31</v>
      </c>
      <c r="L171" s="4">
        <v>15000</v>
      </c>
      <c r="M171" s="4" t="str">
        <f t="shared" si="20"/>
        <v>High</v>
      </c>
      <c r="N171" s="4">
        <f t="shared" si="21"/>
        <v>248</v>
      </c>
      <c r="O171" s="4">
        <f t="shared" si="22"/>
        <v>1</v>
      </c>
      <c r="P171" s="4">
        <f t="shared" ca="1" si="23"/>
        <v>0</v>
      </c>
    </row>
    <row r="172" spans="1:16" x14ac:dyDescent="0.3">
      <c r="A172" s="15" t="s">
        <v>369</v>
      </c>
      <c r="B172" s="16" t="s">
        <v>370</v>
      </c>
      <c r="C172" s="16" t="s">
        <v>29</v>
      </c>
      <c r="D172" s="16" t="s">
        <v>30</v>
      </c>
      <c r="E172" s="17">
        <v>45703</v>
      </c>
      <c r="F172" s="17">
        <v>45703</v>
      </c>
      <c r="G172" s="17">
        <v>45828</v>
      </c>
      <c r="H172" s="16">
        <v>18000</v>
      </c>
      <c r="I172" s="16" t="s">
        <v>16</v>
      </c>
      <c r="J172" s="16" t="s">
        <v>17</v>
      </c>
      <c r="K172" s="16" t="s">
        <v>31</v>
      </c>
      <c r="L172" s="16">
        <v>18000</v>
      </c>
      <c r="M172" s="16" t="str">
        <f t="shared" si="20"/>
        <v>High</v>
      </c>
      <c r="N172" s="16">
        <f t="shared" si="21"/>
        <v>125</v>
      </c>
      <c r="O172" s="16">
        <f t="shared" si="22"/>
        <v>1</v>
      </c>
      <c r="P172" s="16">
        <f t="shared" ca="1" si="23"/>
        <v>354</v>
      </c>
    </row>
    <row r="173" spans="1:16" x14ac:dyDescent="0.3">
      <c r="A173" s="13" t="s">
        <v>371</v>
      </c>
      <c r="B173" s="4" t="s">
        <v>372</v>
      </c>
      <c r="C173" s="4" t="s">
        <v>14</v>
      </c>
      <c r="D173" s="4" t="s">
        <v>30</v>
      </c>
      <c r="E173" s="14">
        <v>45866</v>
      </c>
      <c r="F173" s="14">
        <v>45866</v>
      </c>
      <c r="G173" s="14">
        <v>46090</v>
      </c>
      <c r="H173" s="4">
        <v>12000</v>
      </c>
      <c r="I173" s="4" t="s">
        <v>23</v>
      </c>
      <c r="J173" s="4" t="s">
        <v>17</v>
      </c>
      <c r="K173" s="4" t="s">
        <v>68</v>
      </c>
      <c r="L173" s="4">
        <v>12000</v>
      </c>
      <c r="M173" s="4" t="str">
        <f t="shared" si="20"/>
        <v>Medium</v>
      </c>
      <c r="N173" s="4">
        <f t="shared" si="21"/>
        <v>224</v>
      </c>
      <c r="O173" s="4">
        <f t="shared" si="22"/>
        <v>0</v>
      </c>
      <c r="P173" s="4">
        <f t="shared" ca="1" si="23"/>
        <v>92</v>
      </c>
    </row>
    <row r="174" spans="1:16" x14ac:dyDescent="0.3">
      <c r="A174" s="15" t="s">
        <v>373</v>
      </c>
      <c r="B174" s="16" t="s">
        <v>374</v>
      </c>
      <c r="C174" s="16" t="s">
        <v>29</v>
      </c>
      <c r="D174" s="16" t="s">
        <v>30</v>
      </c>
      <c r="E174" s="17">
        <v>46017</v>
      </c>
      <c r="F174" s="17">
        <v>46017</v>
      </c>
      <c r="G174" s="17">
        <v>46373</v>
      </c>
      <c r="H174" s="16">
        <v>18000</v>
      </c>
      <c r="I174" s="16" t="s">
        <v>23</v>
      </c>
      <c r="J174" s="16" t="s">
        <v>35</v>
      </c>
      <c r="K174" s="16" t="s">
        <v>68</v>
      </c>
      <c r="L174" s="16">
        <v>18000</v>
      </c>
      <c r="M174" s="16" t="str">
        <f t="shared" si="20"/>
        <v>High</v>
      </c>
      <c r="N174" s="16">
        <f t="shared" si="21"/>
        <v>356</v>
      </c>
      <c r="O174" s="16">
        <f t="shared" si="22"/>
        <v>0</v>
      </c>
      <c r="P174" s="16">
        <f t="shared" ca="1" si="23"/>
        <v>0</v>
      </c>
    </row>
    <row r="175" spans="1:16" x14ac:dyDescent="0.3">
      <c r="A175" s="13" t="s">
        <v>375</v>
      </c>
      <c r="B175" s="4" t="s">
        <v>376</v>
      </c>
      <c r="C175" s="4" t="s">
        <v>14</v>
      </c>
      <c r="D175" s="4" t="s">
        <v>45</v>
      </c>
      <c r="E175" s="14">
        <v>45837</v>
      </c>
      <c r="F175" s="14">
        <v>45837</v>
      </c>
      <c r="G175" s="14">
        <v>46164</v>
      </c>
      <c r="H175" s="4">
        <v>10000</v>
      </c>
      <c r="I175" s="4" t="s">
        <v>23</v>
      </c>
      <c r="J175" s="4" t="s">
        <v>17</v>
      </c>
      <c r="K175" s="4" t="s">
        <v>18</v>
      </c>
      <c r="L175" s="4">
        <v>10000</v>
      </c>
      <c r="M175" s="4" t="str">
        <f t="shared" si="20"/>
        <v>Medium</v>
      </c>
      <c r="N175" s="4">
        <f t="shared" si="21"/>
        <v>327</v>
      </c>
      <c r="O175" s="4">
        <f t="shared" si="22"/>
        <v>0</v>
      </c>
      <c r="P175" s="4">
        <f t="shared" ca="1" si="23"/>
        <v>18</v>
      </c>
    </row>
    <row r="176" spans="1:16" x14ac:dyDescent="0.3">
      <c r="A176" s="15" t="s">
        <v>377</v>
      </c>
      <c r="B176" s="16" t="s">
        <v>378</v>
      </c>
      <c r="C176" s="16" t="s">
        <v>14</v>
      </c>
      <c r="D176" s="16" t="s">
        <v>45</v>
      </c>
      <c r="E176" s="17">
        <v>45929</v>
      </c>
      <c r="F176" s="17">
        <v>45929</v>
      </c>
      <c r="G176" s="17">
        <v>46133</v>
      </c>
      <c r="H176" s="16">
        <v>10000</v>
      </c>
      <c r="I176" s="16" t="s">
        <v>23</v>
      </c>
      <c r="J176" s="16" t="s">
        <v>17</v>
      </c>
      <c r="K176" s="16" t="s">
        <v>68</v>
      </c>
      <c r="L176" s="16">
        <v>10000</v>
      </c>
      <c r="M176" s="16" t="str">
        <f t="shared" si="20"/>
        <v>Medium</v>
      </c>
      <c r="N176" s="16">
        <f t="shared" si="21"/>
        <v>204</v>
      </c>
      <c r="O176" s="16">
        <f t="shared" si="22"/>
        <v>0</v>
      </c>
      <c r="P176" s="16">
        <f t="shared" ca="1" si="23"/>
        <v>49</v>
      </c>
    </row>
    <row r="177" spans="1:16" x14ac:dyDescent="0.3">
      <c r="A177" s="13" t="s">
        <v>379</v>
      </c>
      <c r="B177" s="4" t="s">
        <v>380</v>
      </c>
      <c r="C177" s="4" t="s">
        <v>14</v>
      </c>
      <c r="D177" s="4" t="s">
        <v>45</v>
      </c>
      <c r="E177" s="14">
        <v>45690</v>
      </c>
      <c r="F177" s="14">
        <v>45690</v>
      </c>
      <c r="G177" s="14">
        <v>45863</v>
      </c>
      <c r="H177" s="4">
        <v>8000</v>
      </c>
      <c r="I177" s="4" t="s">
        <v>16</v>
      </c>
      <c r="J177" s="4" t="s">
        <v>17</v>
      </c>
      <c r="K177" s="4" t="s">
        <v>31</v>
      </c>
      <c r="L177" s="4">
        <v>8000</v>
      </c>
      <c r="M177" s="4" t="str">
        <f t="shared" si="20"/>
        <v>Low</v>
      </c>
      <c r="N177" s="4">
        <f t="shared" si="21"/>
        <v>173</v>
      </c>
      <c r="O177" s="4">
        <f t="shared" si="22"/>
        <v>1</v>
      </c>
      <c r="P177" s="4">
        <f t="shared" ca="1" si="23"/>
        <v>319</v>
      </c>
    </row>
    <row r="178" spans="1:16" x14ac:dyDescent="0.3">
      <c r="A178" s="15" t="s">
        <v>381</v>
      </c>
      <c r="B178" s="16" t="s">
        <v>382</v>
      </c>
      <c r="C178" s="16" t="s">
        <v>14</v>
      </c>
      <c r="D178" s="16" t="s">
        <v>30</v>
      </c>
      <c r="E178" s="17">
        <v>45787</v>
      </c>
      <c r="F178" s="17">
        <v>45787</v>
      </c>
      <c r="G178" s="17">
        <v>45954</v>
      </c>
      <c r="H178" s="16">
        <v>12000</v>
      </c>
      <c r="I178" s="16" t="s">
        <v>23</v>
      </c>
      <c r="J178" s="16" t="s">
        <v>17</v>
      </c>
      <c r="K178" s="16" t="s">
        <v>68</v>
      </c>
      <c r="L178" s="16">
        <v>12000</v>
      </c>
      <c r="M178" s="16" t="str">
        <f t="shared" si="20"/>
        <v>Medium</v>
      </c>
      <c r="N178" s="16">
        <f t="shared" si="21"/>
        <v>167</v>
      </c>
      <c r="O178" s="16">
        <f t="shared" si="22"/>
        <v>0</v>
      </c>
      <c r="P178" s="16">
        <f t="shared" ca="1" si="23"/>
        <v>228</v>
      </c>
    </row>
    <row r="179" spans="1:16" x14ac:dyDescent="0.3">
      <c r="A179" s="13" t="s">
        <v>383</v>
      </c>
      <c r="B179" s="4" t="s">
        <v>384</v>
      </c>
      <c r="C179" s="4" t="s">
        <v>29</v>
      </c>
      <c r="D179" s="4" t="s">
        <v>22</v>
      </c>
      <c r="E179" s="14">
        <v>45812</v>
      </c>
      <c r="F179" s="14">
        <v>45812</v>
      </c>
      <c r="G179" s="14">
        <v>45994</v>
      </c>
      <c r="H179" s="4">
        <v>12000</v>
      </c>
      <c r="I179" s="4" t="s">
        <v>16</v>
      </c>
      <c r="J179" s="4" t="s">
        <v>17</v>
      </c>
      <c r="K179" s="4" t="s">
        <v>31</v>
      </c>
      <c r="L179" s="4">
        <v>12000</v>
      </c>
      <c r="M179" s="4" t="str">
        <f t="shared" si="20"/>
        <v>Medium</v>
      </c>
      <c r="N179" s="4">
        <f t="shared" si="21"/>
        <v>182</v>
      </c>
      <c r="O179" s="4">
        <f t="shared" si="22"/>
        <v>1</v>
      </c>
      <c r="P179" s="4">
        <f t="shared" ca="1" si="23"/>
        <v>188</v>
      </c>
    </row>
    <row r="180" spans="1:16" x14ac:dyDescent="0.3">
      <c r="A180" s="15" t="s">
        <v>385</v>
      </c>
      <c r="B180" s="16" t="s">
        <v>386</v>
      </c>
      <c r="C180" s="16" t="s">
        <v>21</v>
      </c>
      <c r="D180" s="16" t="s">
        <v>45</v>
      </c>
      <c r="E180" s="17">
        <v>46017</v>
      </c>
      <c r="F180" s="17">
        <v>46017</v>
      </c>
      <c r="G180" s="17">
        <v>46168</v>
      </c>
      <c r="H180" s="16">
        <v>10000</v>
      </c>
      <c r="I180" s="16" t="s">
        <v>16</v>
      </c>
      <c r="J180" s="16" t="s">
        <v>35</v>
      </c>
      <c r="K180" s="16" t="s">
        <v>26</v>
      </c>
      <c r="L180" s="16">
        <v>10000</v>
      </c>
      <c r="M180" s="16" t="str">
        <f t="shared" si="20"/>
        <v>Medium</v>
      </c>
      <c r="N180" s="16">
        <f t="shared" si="21"/>
        <v>151</v>
      </c>
      <c r="O180" s="16">
        <f t="shared" si="22"/>
        <v>1</v>
      </c>
      <c r="P180" s="16">
        <f t="shared" ca="1" si="23"/>
        <v>14</v>
      </c>
    </row>
    <row r="181" spans="1:16" x14ac:dyDescent="0.3">
      <c r="A181" s="13" t="s">
        <v>387</v>
      </c>
      <c r="B181" s="4" t="s">
        <v>388</v>
      </c>
      <c r="C181" s="4" t="s">
        <v>38</v>
      </c>
      <c r="D181" s="4" t="s">
        <v>30</v>
      </c>
      <c r="E181" s="14">
        <v>45784</v>
      </c>
      <c r="F181" s="14">
        <v>45784</v>
      </c>
      <c r="G181" s="14">
        <v>46135</v>
      </c>
      <c r="H181" s="4">
        <v>15000</v>
      </c>
      <c r="I181" s="4" t="s">
        <v>23</v>
      </c>
      <c r="J181" s="4" t="s">
        <v>17</v>
      </c>
      <c r="K181" s="4" t="s">
        <v>31</v>
      </c>
      <c r="L181" s="4">
        <v>15000</v>
      </c>
      <c r="M181" s="4" t="str">
        <f t="shared" si="20"/>
        <v>High</v>
      </c>
      <c r="N181" s="4">
        <f t="shared" si="21"/>
        <v>351</v>
      </c>
      <c r="O181" s="4">
        <f t="shared" si="22"/>
        <v>0</v>
      </c>
      <c r="P181" s="4">
        <f t="shared" ca="1" si="23"/>
        <v>47</v>
      </c>
    </row>
    <row r="182" spans="1:16" x14ac:dyDescent="0.3">
      <c r="A182" s="15" t="s">
        <v>389</v>
      </c>
      <c r="B182" s="16" t="s">
        <v>390</v>
      </c>
      <c r="C182" s="16" t="s">
        <v>21</v>
      </c>
      <c r="D182" s="16" t="s">
        <v>30</v>
      </c>
      <c r="E182" s="17">
        <v>45746</v>
      </c>
      <c r="F182" s="17">
        <v>45746</v>
      </c>
      <c r="G182" s="17">
        <v>45955</v>
      </c>
      <c r="H182" s="16">
        <v>10000</v>
      </c>
      <c r="I182" s="16" t="s">
        <v>16</v>
      </c>
      <c r="J182" s="16" t="s">
        <v>35</v>
      </c>
      <c r="K182" s="16" t="s">
        <v>26</v>
      </c>
      <c r="L182" s="16">
        <v>10000</v>
      </c>
      <c r="M182" s="16" t="str">
        <f t="shared" si="20"/>
        <v>Medium</v>
      </c>
      <c r="N182" s="16">
        <f t="shared" si="21"/>
        <v>209</v>
      </c>
      <c r="O182" s="16">
        <f t="shared" si="22"/>
        <v>1</v>
      </c>
      <c r="P182" s="16">
        <f t="shared" ca="1" si="23"/>
        <v>227</v>
      </c>
    </row>
    <row r="183" spans="1:16" x14ac:dyDescent="0.3">
      <c r="A183" s="13" t="s">
        <v>391</v>
      </c>
      <c r="B183" s="4" t="s">
        <v>392</v>
      </c>
      <c r="C183" s="4" t="s">
        <v>21</v>
      </c>
      <c r="D183" s="4" t="s">
        <v>30</v>
      </c>
      <c r="E183" s="14">
        <v>45858</v>
      </c>
      <c r="F183" s="14">
        <v>45858</v>
      </c>
      <c r="G183" s="14">
        <v>46145</v>
      </c>
      <c r="H183" s="4">
        <v>12000</v>
      </c>
      <c r="I183" s="4" t="s">
        <v>16</v>
      </c>
      <c r="J183" s="4" t="s">
        <v>17</v>
      </c>
      <c r="K183" s="4" t="s">
        <v>31</v>
      </c>
      <c r="L183" s="4">
        <v>12000</v>
      </c>
      <c r="M183" s="4" t="str">
        <f t="shared" si="20"/>
        <v>Medium</v>
      </c>
      <c r="N183" s="4">
        <f t="shared" si="21"/>
        <v>287</v>
      </c>
      <c r="O183" s="4">
        <f t="shared" si="22"/>
        <v>1</v>
      </c>
      <c r="P183" s="4">
        <f t="shared" ca="1" si="23"/>
        <v>37</v>
      </c>
    </row>
    <row r="184" spans="1:16" x14ac:dyDescent="0.3">
      <c r="A184" s="15" t="s">
        <v>393</v>
      </c>
      <c r="B184" s="16" t="s">
        <v>394</v>
      </c>
      <c r="C184" s="16" t="s">
        <v>38</v>
      </c>
      <c r="D184" s="16" t="s">
        <v>30</v>
      </c>
      <c r="E184" s="17">
        <v>46045</v>
      </c>
      <c r="F184" s="17">
        <v>46045</v>
      </c>
      <c r="G184" s="17">
        <v>46239</v>
      </c>
      <c r="H184" s="16">
        <v>12199</v>
      </c>
      <c r="I184" s="16" t="s">
        <v>16</v>
      </c>
      <c r="J184" s="16" t="s">
        <v>17</v>
      </c>
      <c r="K184" s="16" t="s">
        <v>31</v>
      </c>
      <c r="L184" s="16">
        <v>12199</v>
      </c>
      <c r="M184" s="16" t="str">
        <f t="shared" si="20"/>
        <v>Medium</v>
      </c>
      <c r="N184" s="16">
        <f t="shared" si="21"/>
        <v>194</v>
      </c>
      <c r="O184" s="16">
        <f t="shared" si="22"/>
        <v>1</v>
      </c>
      <c r="P184" s="16">
        <f t="shared" ca="1" si="23"/>
        <v>0</v>
      </c>
    </row>
    <row r="185" spans="1:16" x14ac:dyDescent="0.3">
      <c r="A185" s="13" t="s">
        <v>395</v>
      </c>
      <c r="B185" s="4" t="s">
        <v>396</v>
      </c>
      <c r="C185" s="4" t="s">
        <v>21</v>
      </c>
      <c r="D185" s="4" t="s">
        <v>30</v>
      </c>
      <c r="E185" s="14">
        <v>45767</v>
      </c>
      <c r="F185" s="14">
        <v>45767</v>
      </c>
      <c r="G185" s="14">
        <v>45967</v>
      </c>
      <c r="H185" s="4">
        <v>8000</v>
      </c>
      <c r="I185" s="4" t="s">
        <v>16</v>
      </c>
      <c r="J185" s="4" t="s">
        <v>35</v>
      </c>
      <c r="K185" s="4" t="s">
        <v>26</v>
      </c>
      <c r="L185" s="4">
        <v>8000</v>
      </c>
      <c r="M185" s="4" t="str">
        <f t="shared" si="20"/>
        <v>Low</v>
      </c>
      <c r="N185" s="4">
        <f t="shared" si="21"/>
        <v>200</v>
      </c>
      <c r="O185" s="4">
        <f t="shared" si="22"/>
        <v>1</v>
      </c>
      <c r="P185" s="4">
        <f t="shared" ca="1" si="23"/>
        <v>215</v>
      </c>
    </row>
    <row r="186" spans="1:16" x14ac:dyDescent="0.3">
      <c r="A186" s="15" t="s">
        <v>397</v>
      </c>
      <c r="B186" s="16" t="s">
        <v>398</v>
      </c>
      <c r="C186" s="16" t="s">
        <v>29</v>
      </c>
      <c r="D186" s="16" t="s">
        <v>30</v>
      </c>
      <c r="E186" s="17">
        <v>45933</v>
      </c>
      <c r="F186" s="17">
        <v>45933</v>
      </c>
      <c r="G186" s="17">
        <v>46172</v>
      </c>
      <c r="H186" s="16">
        <v>8000</v>
      </c>
      <c r="I186" s="16" t="s">
        <v>16</v>
      </c>
      <c r="J186" s="16" t="s">
        <v>17</v>
      </c>
      <c r="K186" s="16" t="s">
        <v>68</v>
      </c>
      <c r="L186" s="16">
        <v>8000</v>
      </c>
      <c r="M186" s="16" t="str">
        <f t="shared" si="20"/>
        <v>Low</v>
      </c>
      <c r="N186" s="16">
        <f t="shared" si="21"/>
        <v>239</v>
      </c>
      <c r="O186" s="16">
        <f t="shared" si="22"/>
        <v>1</v>
      </c>
      <c r="P186" s="16">
        <f t="shared" ca="1" si="23"/>
        <v>10</v>
      </c>
    </row>
    <row r="187" spans="1:16" x14ac:dyDescent="0.3">
      <c r="A187" s="13" t="s">
        <v>399</v>
      </c>
      <c r="B187" s="4" t="s">
        <v>400</v>
      </c>
      <c r="C187" s="4" t="s">
        <v>29</v>
      </c>
      <c r="D187" s="4" t="s">
        <v>30</v>
      </c>
      <c r="E187" s="14">
        <v>46156</v>
      </c>
      <c r="F187" s="14">
        <v>45830</v>
      </c>
      <c r="G187" s="14">
        <v>46148</v>
      </c>
      <c r="H187" s="4">
        <v>18000</v>
      </c>
      <c r="I187" s="4" t="s">
        <v>23</v>
      </c>
      <c r="J187" s="4" t="s">
        <v>17</v>
      </c>
      <c r="K187" s="4" t="s">
        <v>26</v>
      </c>
      <c r="L187" s="4">
        <v>18000</v>
      </c>
      <c r="M187" s="4" t="str">
        <f t="shared" si="20"/>
        <v>High</v>
      </c>
      <c r="N187" s="4">
        <f t="shared" si="21"/>
        <v>-8</v>
      </c>
      <c r="O187" s="4">
        <f t="shared" si="22"/>
        <v>0</v>
      </c>
      <c r="P187" s="4">
        <f t="shared" ca="1" si="23"/>
        <v>34</v>
      </c>
    </row>
    <row r="188" spans="1:16" x14ac:dyDescent="0.3">
      <c r="A188" s="15" t="s">
        <v>401</v>
      </c>
      <c r="B188" s="16" t="s">
        <v>402</v>
      </c>
      <c r="C188" s="16" t="s">
        <v>21</v>
      </c>
      <c r="D188" s="16" t="s">
        <v>45</v>
      </c>
      <c r="E188" s="17">
        <v>46077</v>
      </c>
      <c r="F188" s="17">
        <v>46077</v>
      </c>
      <c r="G188" s="17">
        <v>46193</v>
      </c>
      <c r="H188" s="16">
        <v>12000</v>
      </c>
      <c r="I188" s="16" t="s">
        <v>16</v>
      </c>
      <c r="J188" s="16" t="s">
        <v>35</v>
      </c>
      <c r="K188" s="16" t="s">
        <v>26</v>
      </c>
      <c r="L188" s="16">
        <v>12000</v>
      </c>
      <c r="M188" s="16" t="str">
        <f t="shared" si="20"/>
        <v>Medium</v>
      </c>
      <c r="N188" s="16">
        <f t="shared" si="21"/>
        <v>116</v>
      </c>
      <c r="O188" s="16">
        <f t="shared" si="22"/>
        <v>1</v>
      </c>
      <c r="P188" s="16">
        <f t="shared" ca="1" si="23"/>
        <v>0</v>
      </c>
    </row>
    <row r="189" spans="1:16" x14ac:dyDescent="0.3">
      <c r="A189" s="13" t="s">
        <v>403</v>
      </c>
      <c r="B189" s="4" t="s">
        <v>404</v>
      </c>
      <c r="C189" s="4" t="s">
        <v>21</v>
      </c>
      <c r="D189" s="4" t="s">
        <v>22</v>
      </c>
      <c r="E189" s="14">
        <v>46073</v>
      </c>
      <c r="F189" s="14">
        <v>46073</v>
      </c>
      <c r="G189" s="14">
        <v>46174</v>
      </c>
      <c r="H189" s="4">
        <v>12000</v>
      </c>
      <c r="I189" s="4" t="s">
        <v>16</v>
      </c>
      <c r="J189" s="4" t="s">
        <v>35</v>
      </c>
      <c r="K189" s="4" t="s">
        <v>31</v>
      </c>
      <c r="L189" s="4">
        <v>12000</v>
      </c>
      <c r="M189" s="4" t="str">
        <f t="shared" si="20"/>
        <v>Medium</v>
      </c>
      <c r="N189" s="4">
        <f t="shared" si="21"/>
        <v>101</v>
      </c>
      <c r="O189" s="4">
        <f t="shared" si="22"/>
        <v>1</v>
      </c>
      <c r="P189" s="4">
        <f t="shared" ca="1" si="23"/>
        <v>8</v>
      </c>
    </row>
    <row r="190" spans="1:16" x14ac:dyDescent="0.3">
      <c r="A190" s="15" t="s">
        <v>405</v>
      </c>
      <c r="B190" s="16" t="s">
        <v>406</v>
      </c>
      <c r="C190" s="16" t="s">
        <v>21</v>
      </c>
      <c r="D190" s="16" t="s">
        <v>45</v>
      </c>
      <c r="E190" s="17">
        <v>45780</v>
      </c>
      <c r="F190" s="17">
        <v>45780</v>
      </c>
      <c r="G190" s="17">
        <v>46038</v>
      </c>
      <c r="H190" s="16">
        <v>12000</v>
      </c>
      <c r="I190" s="16" t="s">
        <v>23</v>
      </c>
      <c r="J190" s="16" t="s">
        <v>35</v>
      </c>
      <c r="K190" s="16" t="s">
        <v>18</v>
      </c>
      <c r="L190" s="16">
        <v>12000</v>
      </c>
      <c r="M190" s="16" t="str">
        <f t="shared" si="20"/>
        <v>Medium</v>
      </c>
      <c r="N190" s="16">
        <f t="shared" si="21"/>
        <v>258</v>
      </c>
      <c r="O190" s="16">
        <f t="shared" si="22"/>
        <v>0</v>
      </c>
      <c r="P190" s="16">
        <f t="shared" ca="1" si="23"/>
        <v>144</v>
      </c>
    </row>
    <row r="191" spans="1:16" x14ac:dyDescent="0.3">
      <c r="A191" s="13" t="s">
        <v>407</v>
      </c>
      <c r="B191" s="4" t="s">
        <v>408</v>
      </c>
      <c r="C191" s="4" t="s">
        <v>14</v>
      </c>
      <c r="D191" s="4" t="s">
        <v>30</v>
      </c>
      <c r="E191" s="14">
        <v>45800</v>
      </c>
      <c r="F191" s="14">
        <v>45800</v>
      </c>
      <c r="G191" s="14">
        <v>46107</v>
      </c>
      <c r="H191" s="4">
        <v>18000</v>
      </c>
      <c r="I191" s="4" t="s">
        <v>23</v>
      </c>
      <c r="J191" s="4" t="s">
        <v>35</v>
      </c>
      <c r="K191" s="4" t="s">
        <v>68</v>
      </c>
      <c r="L191" s="4">
        <v>18000</v>
      </c>
      <c r="M191" s="4" t="str">
        <f t="shared" si="20"/>
        <v>High</v>
      </c>
      <c r="N191" s="4">
        <f t="shared" si="21"/>
        <v>307</v>
      </c>
      <c r="O191" s="4">
        <f t="shared" si="22"/>
        <v>0</v>
      </c>
      <c r="P191" s="4">
        <f t="shared" ca="1" si="23"/>
        <v>75</v>
      </c>
    </row>
    <row r="192" spans="1:16" x14ac:dyDescent="0.3">
      <c r="A192" s="15" t="s">
        <v>409</v>
      </c>
      <c r="B192" s="16" t="s">
        <v>410</v>
      </c>
      <c r="C192" s="16" t="s">
        <v>21</v>
      </c>
      <c r="D192" s="16" t="s">
        <v>30</v>
      </c>
      <c r="E192" s="17">
        <v>45713</v>
      </c>
      <c r="F192" s="17">
        <v>45713</v>
      </c>
      <c r="G192" s="17">
        <v>46053</v>
      </c>
      <c r="H192" s="16">
        <v>10000</v>
      </c>
      <c r="I192" s="16" t="s">
        <v>23</v>
      </c>
      <c r="J192" s="16" t="s">
        <v>35</v>
      </c>
      <c r="K192" s="16" t="s">
        <v>18</v>
      </c>
      <c r="L192" s="16">
        <v>10000</v>
      </c>
      <c r="M192" s="16" t="str">
        <f t="shared" si="20"/>
        <v>Medium</v>
      </c>
      <c r="N192" s="16">
        <f t="shared" si="21"/>
        <v>340</v>
      </c>
      <c r="O192" s="16">
        <f t="shared" si="22"/>
        <v>0</v>
      </c>
      <c r="P192" s="16">
        <f t="shared" ca="1" si="23"/>
        <v>129</v>
      </c>
    </row>
    <row r="193" spans="1:16" x14ac:dyDescent="0.3">
      <c r="A193" s="13" t="s">
        <v>411</v>
      </c>
      <c r="B193" s="4" t="s">
        <v>412</v>
      </c>
      <c r="C193" s="4" t="s">
        <v>29</v>
      </c>
      <c r="D193" s="4" t="s">
        <v>30</v>
      </c>
      <c r="E193" s="14">
        <v>46125</v>
      </c>
      <c r="F193" s="14">
        <v>46125</v>
      </c>
      <c r="G193" s="14">
        <v>46378</v>
      </c>
      <c r="H193" s="4">
        <v>15000</v>
      </c>
      <c r="I193" s="4" t="s">
        <v>16</v>
      </c>
      <c r="J193" s="4" t="s">
        <v>17</v>
      </c>
      <c r="K193" s="4" t="s">
        <v>26</v>
      </c>
      <c r="L193" s="4">
        <v>15000</v>
      </c>
      <c r="M193" s="4" t="str">
        <f t="shared" si="20"/>
        <v>High</v>
      </c>
      <c r="N193" s="4">
        <f t="shared" si="21"/>
        <v>253</v>
      </c>
      <c r="O193" s="4">
        <f t="shared" si="22"/>
        <v>1</v>
      </c>
      <c r="P193" s="4">
        <f t="shared" ca="1" si="23"/>
        <v>0</v>
      </c>
    </row>
    <row r="194" spans="1:16" x14ac:dyDescent="0.3">
      <c r="A194" s="15" t="s">
        <v>413</v>
      </c>
      <c r="B194" s="16" t="s">
        <v>414</v>
      </c>
      <c r="C194" s="16" t="s">
        <v>29</v>
      </c>
      <c r="D194" s="16" t="s">
        <v>30</v>
      </c>
      <c r="E194" s="17">
        <v>46015</v>
      </c>
      <c r="F194" s="17">
        <v>46015</v>
      </c>
      <c r="G194" s="17">
        <v>46194</v>
      </c>
      <c r="H194" s="16">
        <v>10000</v>
      </c>
      <c r="I194" s="16" t="s">
        <v>23</v>
      </c>
      <c r="J194" s="16" t="s">
        <v>35</v>
      </c>
      <c r="K194" s="16" t="s">
        <v>68</v>
      </c>
      <c r="L194" s="16">
        <v>10000</v>
      </c>
      <c r="M194" s="16" t="str">
        <f t="shared" ref="M194:M201" si="24">IF(H194&gt;=15000,"High",IF(H194&gt;=10000,"Medium","Low"))</f>
        <v>Medium</v>
      </c>
      <c r="N194" s="16">
        <f t="shared" ref="N194:N201" si="25">G194-E194</f>
        <v>179</v>
      </c>
      <c r="O194" s="16">
        <f t="shared" ref="O194:O201" si="26">IF(I194="Occupied",1,0)</f>
        <v>0</v>
      </c>
      <c r="P194" s="16">
        <f t="shared" ref="P194:P201" ca="1" si="27">IF(G194&lt;TODAY(),TODAY()-G194,0)</f>
        <v>0</v>
      </c>
    </row>
    <row r="195" spans="1:16" x14ac:dyDescent="0.3">
      <c r="A195" s="13" t="s">
        <v>415</v>
      </c>
      <c r="B195" s="4" t="s">
        <v>416</v>
      </c>
      <c r="C195" s="4" t="s">
        <v>29</v>
      </c>
      <c r="D195" s="4" t="s">
        <v>30</v>
      </c>
      <c r="E195" s="14">
        <v>45935</v>
      </c>
      <c r="F195" s="14">
        <v>45935</v>
      </c>
      <c r="G195" s="14">
        <v>46160</v>
      </c>
      <c r="H195" s="4">
        <v>10000</v>
      </c>
      <c r="I195" s="4" t="s">
        <v>16</v>
      </c>
      <c r="J195" s="4" t="s">
        <v>35</v>
      </c>
      <c r="K195" s="4" t="s">
        <v>31</v>
      </c>
      <c r="L195" s="4">
        <v>10000</v>
      </c>
      <c r="M195" s="4" t="str">
        <f t="shared" si="24"/>
        <v>Medium</v>
      </c>
      <c r="N195" s="4">
        <f t="shared" si="25"/>
        <v>225</v>
      </c>
      <c r="O195" s="4">
        <f t="shared" si="26"/>
        <v>1</v>
      </c>
      <c r="P195" s="4">
        <f t="shared" ca="1" si="27"/>
        <v>22</v>
      </c>
    </row>
    <row r="196" spans="1:16" x14ac:dyDescent="0.3">
      <c r="A196" s="15" t="s">
        <v>417</v>
      </c>
      <c r="B196" s="16" t="s">
        <v>418</v>
      </c>
      <c r="C196" s="16" t="s">
        <v>29</v>
      </c>
      <c r="D196" s="16" t="s">
        <v>30</v>
      </c>
      <c r="E196" s="17">
        <v>45882</v>
      </c>
      <c r="F196" s="17">
        <v>45882</v>
      </c>
      <c r="G196" s="17">
        <v>46072</v>
      </c>
      <c r="H196" s="16">
        <v>12000</v>
      </c>
      <c r="I196" s="16" t="s">
        <v>16</v>
      </c>
      <c r="J196" s="16" t="s">
        <v>35</v>
      </c>
      <c r="K196" s="16" t="s">
        <v>18</v>
      </c>
      <c r="L196" s="16">
        <v>12000</v>
      </c>
      <c r="M196" s="16" t="str">
        <f t="shared" si="24"/>
        <v>Medium</v>
      </c>
      <c r="N196" s="16">
        <f t="shared" si="25"/>
        <v>190</v>
      </c>
      <c r="O196" s="16">
        <f t="shared" si="26"/>
        <v>1</v>
      </c>
      <c r="P196" s="16">
        <f t="shared" ca="1" si="27"/>
        <v>110</v>
      </c>
    </row>
    <row r="197" spans="1:16" x14ac:dyDescent="0.3">
      <c r="A197" s="13" t="s">
        <v>419</v>
      </c>
      <c r="B197" s="4" t="s">
        <v>420</v>
      </c>
      <c r="C197" s="4" t="s">
        <v>21</v>
      </c>
      <c r="D197" s="4" t="s">
        <v>30</v>
      </c>
      <c r="E197" s="14">
        <v>45955</v>
      </c>
      <c r="F197" s="14">
        <v>45955</v>
      </c>
      <c r="G197" s="14">
        <v>46129</v>
      </c>
      <c r="H197" s="4">
        <v>8000</v>
      </c>
      <c r="I197" s="4" t="s">
        <v>16</v>
      </c>
      <c r="J197" s="4" t="s">
        <v>17</v>
      </c>
      <c r="K197" s="4" t="s">
        <v>18</v>
      </c>
      <c r="L197" s="4">
        <v>8000</v>
      </c>
      <c r="M197" s="4" t="str">
        <f t="shared" si="24"/>
        <v>Low</v>
      </c>
      <c r="N197" s="4">
        <f t="shared" si="25"/>
        <v>174</v>
      </c>
      <c r="O197" s="4">
        <f t="shared" si="26"/>
        <v>1</v>
      </c>
      <c r="P197" s="4">
        <f t="shared" ca="1" si="27"/>
        <v>53</v>
      </c>
    </row>
    <row r="198" spans="1:16" x14ac:dyDescent="0.3">
      <c r="A198" s="15" t="s">
        <v>421</v>
      </c>
      <c r="B198" s="16" t="s">
        <v>422</v>
      </c>
      <c r="C198" s="16" t="s">
        <v>29</v>
      </c>
      <c r="D198" s="16" t="s">
        <v>45</v>
      </c>
      <c r="E198" s="17">
        <v>46159</v>
      </c>
      <c r="F198" s="17">
        <v>46159</v>
      </c>
      <c r="G198" s="17">
        <v>46498</v>
      </c>
      <c r="H198" s="16">
        <v>12000</v>
      </c>
      <c r="I198" s="16" t="s">
        <v>16</v>
      </c>
      <c r="J198" s="16" t="s">
        <v>35</v>
      </c>
      <c r="K198" s="16" t="s">
        <v>18</v>
      </c>
      <c r="L198" s="16">
        <v>12000</v>
      </c>
      <c r="M198" s="16" t="str">
        <f t="shared" si="24"/>
        <v>Medium</v>
      </c>
      <c r="N198" s="16">
        <f t="shared" si="25"/>
        <v>339</v>
      </c>
      <c r="O198" s="16">
        <f t="shared" si="26"/>
        <v>1</v>
      </c>
      <c r="P198" s="16">
        <f t="shared" ca="1" si="27"/>
        <v>0</v>
      </c>
    </row>
    <row r="199" spans="1:16" x14ac:dyDescent="0.3">
      <c r="A199" s="13" t="s">
        <v>423</v>
      </c>
      <c r="B199" s="4" t="s">
        <v>424</v>
      </c>
      <c r="C199" s="4" t="s">
        <v>14</v>
      </c>
      <c r="D199" s="4" t="s">
        <v>45</v>
      </c>
      <c r="E199" s="14">
        <v>45952</v>
      </c>
      <c r="F199" s="14">
        <v>45952</v>
      </c>
      <c r="G199" s="14">
        <v>46102</v>
      </c>
      <c r="H199" s="4">
        <v>8000</v>
      </c>
      <c r="I199" s="4" t="s">
        <v>23</v>
      </c>
      <c r="J199" s="4" t="s">
        <v>35</v>
      </c>
      <c r="K199" s="4" t="s">
        <v>68</v>
      </c>
      <c r="L199" s="4">
        <v>8000</v>
      </c>
      <c r="M199" s="4" t="str">
        <f t="shared" si="24"/>
        <v>Low</v>
      </c>
      <c r="N199" s="4">
        <f t="shared" si="25"/>
        <v>150</v>
      </c>
      <c r="O199" s="4">
        <f t="shared" si="26"/>
        <v>0</v>
      </c>
      <c r="P199" s="4">
        <f t="shared" ca="1" si="27"/>
        <v>80</v>
      </c>
    </row>
    <row r="200" spans="1:16" x14ac:dyDescent="0.3">
      <c r="A200" s="15" t="s">
        <v>425</v>
      </c>
      <c r="B200" s="16" t="s">
        <v>426</v>
      </c>
      <c r="C200" s="16" t="s">
        <v>14</v>
      </c>
      <c r="D200" s="16" t="s">
        <v>30</v>
      </c>
      <c r="E200" s="17">
        <v>45859</v>
      </c>
      <c r="F200" s="17">
        <v>45859</v>
      </c>
      <c r="G200" s="17">
        <v>46124</v>
      </c>
      <c r="H200" s="16">
        <v>18000</v>
      </c>
      <c r="I200" s="16" t="s">
        <v>16</v>
      </c>
      <c r="J200" s="16" t="s">
        <v>35</v>
      </c>
      <c r="K200" s="16" t="s">
        <v>68</v>
      </c>
      <c r="L200" s="16">
        <v>18000</v>
      </c>
      <c r="M200" s="16" t="str">
        <f t="shared" si="24"/>
        <v>High</v>
      </c>
      <c r="N200" s="16">
        <f t="shared" si="25"/>
        <v>265</v>
      </c>
      <c r="O200" s="16">
        <f t="shared" si="26"/>
        <v>1</v>
      </c>
      <c r="P200" s="16">
        <f t="shared" ca="1" si="27"/>
        <v>58</v>
      </c>
    </row>
    <row r="201" spans="1:16" x14ac:dyDescent="0.3">
      <c r="A201" s="13" t="s">
        <v>427</v>
      </c>
      <c r="B201" s="4" t="s">
        <v>428</v>
      </c>
      <c r="C201" s="4" t="s">
        <v>14</v>
      </c>
      <c r="D201" s="4" t="s">
        <v>30</v>
      </c>
      <c r="E201" s="14">
        <v>46155</v>
      </c>
      <c r="F201" s="14">
        <v>46155</v>
      </c>
      <c r="G201" s="14">
        <v>46326</v>
      </c>
      <c r="H201" s="4">
        <v>12000</v>
      </c>
      <c r="I201" s="4" t="s">
        <v>16</v>
      </c>
      <c r="J201" s="4" t="s">
        <v>35</v>
      </c>
      <c r="K201" s="4" t="s">
        <v>18</v>
      </c>
      <c r="L201" s="4">
        <v>12000</v>
      </c>
      <c r="M201" s="4" t="str">
        <f t="shared" si="24"/>
        <v>Medium</v>
      </c>
      <c r="N201" s="4">
        <f t="shared" si="25"/>
        <v>171</v>
      </c>
      <c r="O201" s="4">
        <f t="shared" si="26"/>
        <v>1</v>
      </c>
      <c r="P201" s="4">
        <f t="shared" ca="1" si="2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E2D4-BB04-4F79-B97A-4E16F8F639A5}">
  <dimension ref="A6:D22"/>
  <sheetViews>
    <sheetView zoomScale="89" workbookViewId="0">
      <selection activeCell="D12" sqref="D12"/>
    </sheetView>
  </sheetViews>
  <sheetFormatPr defaultRowHeight="14.4" x14ac:dyDescent="0.3"/>
  <cols>
    <col min="1" max="1" width="34.44140625" customWidth="1"/>
    <col min="2" max="2" width="30.88671875" customWidth="1"/>
    <col min="3" max="3" width="30.77734375" style="19" customWidth="1"/>
    <col min="5" max="5" width="16.33203125" bestFit="1" customWidth="1"/>
    <col min="6" max="6" width="14.88671875" bestFit="1" customWidth="1"/>
    <col min="9" max="9" width="10.77734375" bestFit="1" customWidth="1"/>
    <col min="10" max="10" width="14.88671875" bestFit="1" customWidth="1"/>
    <col min="12" max="12" width="10.77734375" bestFit="1" customWidth="1"/>
    <col min="13" max="13" width="14.88671875" bestFit="1" customWidth="1"/>
  </cols>
  <sheetData>
    <row r="6" spans="2:4" x14ac:dyDescent="0.3">
      <c r="B6" s="7" t="s">
        <v>445</v>
      </c>
      <c r="C6" s="64" t="s">
        <v>446</v>
      </c>
    </row>
    <row r="7" spans="2:4" x14ac:dyDescent="0.3">
      <c r="B7" s="20" t="s">
        <v>447</v>
      </c>
      <c r="C7" s="61">
        <f>COUNTIF('Formula Assessment'!I:I,"Occupied")</f>
        <v>119</v>
      </c>
    </row>
    <row r="8" spans="2:4" x14ac:dyDescent="0.3">
      <c r="B8" s="21" t="s">
        <v>455</v>
      </c>
      <c r="C8" s="61">
        <f>COUNTIF('Formula Assessment'!I:I,"Vacant")</f>
        <v>81</v>
      </c>
      <c r="D8" s="23"/>
    </row>
    <row r="9" spans="2:4" x14ac:dyDescent="0.3">
      <c r="B9" s="22" t="s">
        <v>448</v>
      </c>
      <c r="C9" s="62">
        <f>C7/(C7+C8)</f>
        <v>0.59499999999999997</v>
      </c>
    </row>
    <row r="10" spans="2:4" x14ac:dyDescent="0.3">
      <c r="B10" s="22" t="s">
        <v>449</v>
      </c>
      <c r="C10" s="65">
        <f>SUM('Formula Assessment'!L:L)</f>
        <v>2445398</v>
      </c>
    </row>
    <row r="11" spans="2:4" x14ac:dyDescent="0.3">
      <c r="B11" s="22" t="s">
        <v>450</v>
      </c>
      <c r="C11" s="65">
        <f>AVERAGE('Formula Assessment'!H:H)</f>
        <v>12226.99</v>
      </c>
    </row>
    <row r="12" spans="2:4" ht="74.400000000000006" customHeight="1" x14ac:dyDescent="0.3">
      <c r="B12" s="22" t="s">
        <v>458</v>
      </c>
      <c r="C12" s="24" t="s">
        <v>467</v>
      </c>
    </row>
    <row r="13" spans="2:4" ht="43.2" x14ac:dyDescent="0.3">
      <c r="B13" s="22" t="s">
        <v>451</v>
      </c>
      <c r="C13" s="24" t="s">
        <v>468</v>
      </c>
    </row>
    <row r="14" spans="2:4" x14ac:dyDescent="0.3">
      <c r="B14" s="22" t="s">
        <v>452</v>
      </c>
      <c r="C14" s="24" t="s">
        <v>31</v>
      </c>
    </row>
    <row r="15" spans="2:4" x14ac:dyDescent="0.3">
      <c r="B15" s="22" t="s">
        <v>453</v>
      </c>
      <c r="C15" s="63">
        <f ca="1">COUNTIF('Formula Assessment'!G:G,"&lt;"&amp;TODAY())</f>
        <v>125</v>
      </c>
    </row>
    <row r="16" spans="2:4" x14ac:dyDescent="0.3">
      <c r="B16" s="22" t="s">
        <v>454</v>
      </c>
      <c r="C16" s="61">
        <f>COUNTIF('Formula Assessment'!J:J,"Pending")</f>
        <v>111</v>
      </c>
    </row>
    <row r="19" spans="1:2" x14ac:dyDescent="0.3">
      <c r="A19" s="3"/>
      <c r="B19" s="3"/>
    </row>
    <row r="20" spans="1:2" x14ac:dyDescent="0.3">
      <c r="A20" s="3"/>
      <c r="B20" s="3"/>
    </row>
    <row r="21" spans="1:2" x14ac:dyDescent="0.3">
      <c r="A21" s="3"/>
      <c r="B21" s="3"/>
    </row>
    <row r="22" spans="1:2" x14ac:dyDescent="0.3">
      <c r="A22"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94D73-1F0F-43EC-8E4B-4BA3B211508D}">
  <dimension ref="B1:H24"/>
  <sheetViews>
    <sheetView topLeftCell="A6" zoomScale="59" workbookViewId="0">
      <selection activeCell="G11" sqref="G11"/>
    </sheetView>
  </sheetViews>
  <sheetFormatPr defaultRowHeight="14.4" x14ac:dyDescent="0.3"/>
  <cols>
    <col min="3" max="3" width="16" bestFit="1" customWidth="1"/>
    <col min="4" max="4" width="20" customWidth="1"/>
    <col min="5" max="5" width="6.77734375" customWidth="1"/>
    <col min="6" max="6" width="10.77734375" bestFit="1" customWidth="1"/>
    <col min="7" max="8" width="17.77734375" customWidth="1"/>
  </cols>
  <sheetData>
    <row r="1" spans="2:8" x14ac:dyDescent="0.3">
      <c r="B1" s="29"/>
      <c r="C1" s="29"/>
      <c r="D1" s="29"/>
      <c r="E1" s="29"/>
      <c r="F1" s="29"/>
      <c r="G1" s="29"/>
      <c r="H1" s="29"/>
    </row>
    <row r="2" spans="2:8" x14ac:dyDescent="0.3">
      <c r="B2" s="29"/>
      <c r="C2" s="29"/>
      <c r="D2" s="29"/>
      <c r="E2" s="29"/>
      <c r="F2" s="29"/>
      <c r="G2" s="29"/>
      <c r="H2" s="29"/>
    </row>
    <row r="3" spans="2:8" x14ac:dyDescent="0.3">
      <c r="B3" s="29"/>
      <c r="C3" s="36" t="s">
        <v>2</v>
      </c>
      <c r="D3" s="36" t="s">
        <v>457</v>
      </c>
      <c r="E3" s="29"/>
      <c r="F3" s="36" t="s">
        <v>469</v>
      </c>
      <c r="G3" s="36" t="s">
        <v>457</v>
      </c>
      <c r="H3" s="29"/>
    </row>
    <row r="4" spans="2:8" x14ac:dyDescent="0.3">
      <c r="B4" s="29"/>
      <c r="C4" s="37" t="s">
        <v>29</v>
      </c>
      <c r="D4" s="38">
        <v>677199</v>
      </c>
      <c r="E4" s="29"/>
      <c r="F4" s="37" t="s">
        <v>30</v>
      </c>
      <c r="G4" s="38">
        <v>1515199</v>
      </c>
      <c r="H4" s="29"/>
    </row>
    <row r="5" spans="2:8" x14ac:dyDescent="0.3">
      <c r="B5" s="29"/>
      <c r="C5" s="37" t="s">
        <v>14</v>
      </c>
      <c r="D5" s="38">
        <v>674000</v>
      </c>
      <c r="E5" s="29"/>
      <c r="F5" s="37" t="s">
        <v>22</v>
      </c>
      <c r="G5" s="38">
        <v>471000</v>
      </c>
      <c r="H5" s="29"/>
    </row>
    <row r="6" spans="2:8" x14ac:dyDescent="0.3">
      <c r="B6" s="29"/>
      <c r="C6" s="37" t="s">
        <v>38</v>
      </c>
      <c r="D6" s="38">
        <v>552199</v>
      </c>
      <c r="E6" s="29"/>
      <c r="F6" s="37" t="s">
        <v>45</v>
      </c>
      <c r="G6" s="38">
        <v>459199</v>
      </c>
      <c r="H6" s="29"/>
    </row>
    <row r="7" spans="2:8" x14ac:dyDescent="0.3">
      <c r="B7" s="29"/>
      <c r="C7" s="37" t="s">
        <v>21</v>
      </c>
      <c r="D7" s="38">
        <v>542000</v>
      </c>
      <c r="E7" s="29"/>
      <c r="F7" s="39" t="s">
        <v>456</v>
      </c>
      <c r="G7" s="36">
        <v>2445398</v>
      </c>
      <c r="H7" s="29"/>
    </row>
    <row r="8" spans="2:8" x14ac:dyDescent="0.3">
      <c r="B8" s="29"/>
      <c r="C8" s="39" t="s">
        <v>456</v>
      </c>
      <c r="D8" s="36">
        <v>2445398</v>
      </c>
      <c r="E8" s="29"/>
      <c r="F8" s="29"/>
      <c r="G8" s="29"/>
      <c r="H8" s="29"/>
    </row>
    <row r="9" spans="2:8" x14ac:dyDescent="0.3">
      <c r="B9" s="29"/>
      <c r="C9" s="29"/>
      <c r="D9" s="29"/>
      <c r="E9" s="29"/>
      <c r="F9" s="29"/>
      <c r="G9" s="29"/>
      <c r="H9" s="29"/>
    </row>
    <row r="10" spans="2:8" x14ac:dyDescent="0.3">
      <c r="B10" s="29"/>
      <c r="C10" s="36" t="s">
        <v>2</v>
      </c>
      <c r="D10" s="36" t="s">
        <v>459</v>
      </c>
      <c r="E10" s="29"/>
      <c r="F10" s="36" t="s">
        <v>470</v>
      </c>
      <c r="G10" s="36" t="s">
        <v>460</v>
      </c>
      <c r="H10" s="29"/>
    </row>
    <row r="11" spans="2:8" x14ac:dyDescent="0.3">
      <c r="B11" s="29"/>
      <c r="C11" s="37" t="s">
        <v>29</v>
      </c>
      <c r="D11" s="38">
        <v>33</v>
      </c>
      <c r="E11" s="29"/>
      <c r="F11" s="37" t="s">
        <v>31</v>
      </c>
      <c r="G11" s="38">
        <v>53</v>
      </c>
      <c r="H11" s="29"/>
    </row>
    <row r="12" spans="2:8" x14ac:dyDescent="0.3">
      <c r="B12" s="29"/>
      <c r="C12" s="37" t="s">
        <v>14</v>
      </c>
      <c r="D12" s="38">
        <v>31</v>
      </c>
      <c r="E12" s="29"/>
      <c r="F12" s="37" t="s">
        <v>18</v>
      </c>
      <c r="G12" s="38">
        <v>52</v>
      </c>
      <c r="H12" s="29"/>
    </row>
    <row r="13" spans="2:8" x14ac:dyDescent="0.3">
      <c r="B13" s="29"/>
      <c r="C13" s="37" t="s">
        <v>21</v>
      </c>
      <c r="D13" s="38">
        <v>29</v>
      </c>
      <c r="E13" s="29"/>
      <c r="F13" s="37" t="s">
        <v>68</v>
      </c>
      <c r="G13" s="38">
        <v>50</v>
      </c>
      <c r="H13" s="29"/>
    </row>
    <row r="14" spans="2:8" x14ac:dyDescent="0.3">
      <c r="B14" s="29"/>
      <c r="C14" s="37" t="s">
        <v>38</v>
      </c>
      <c r="D14" s="38">
        <v>26</v>
      </c>
      <c r="E14" s="29"/>
      <c r="F14" s="37" t="s">
        <v>26</v>
      </c>
      <c r="G14" s="38">
        <v>45</v>
      </c>
      <c r="H14" s="29"/>
    </row>
    <row r="15" spans="2:8" x14ac:dyDescent="0.3">
      <c r="B15" s="29"/>
      <c r="C15" s="39" t="s">
        <v>456</v>
      </c>
      <c r="D15" s="36">
        <v>119</v>
      </c>
      <c r="E15" s="29"/>
      <c r="F15" s="39" t="s">
        <v>456</v>
      </c>
      <c r="G15" s="36">
        <v>200</v>
      </c>
      <c r="H15" s="29"/>
    </row>
    <row r="16" spans="2:8" x14ac:dyDescent="0.3">
      <c r="B16" s="29"/>
      <c r="C16" s="29"/>
      <c r="D16" s="29"/>
      <c r="E16" s="29"/>
      <c r="F16" s="29"/>
      <c r="G16" s="29"/>
      <c r="H16" s="29"/>
    </row>
    <row r="17" spans="2:8" x14ac:dyDescent="0.3">
      <c r="B17" s="29"/>
      <c r="C17" s="36" t="s">
        <v>9</v>
      </c>
      <c r="D17" s="36" t="s">
        <v>460</v>
      </c>
      <c r="E17" s="29"/>
      <c r="F17" s="29"/>
      <c r="G17" s="29"/>
      <c r="H17" s="29"/>
    </row>
    <row r="18" spans="2:8" x14ac:dyDescent="0.3">
      <c r="B18" s="29"/>
      <c r="C18" s="37" t="s">
        <v>35</v>
      </c>
      <c r="D18" s="38">
        <v>89</v>
      </c>
      <c r="E18" s="29"/>
      <c r="F18" s="29"/>
      <c r="G18" s="29"/>
      <c r="H18" s="29"/>
    </row>
    <row r="19" spans="2:8" x14ac:dyDescent="0.3">
      <c r="B19" s="29"/>
      <c r="C19" s="37" t="s">
        <v>17</v>
      </c>
      <c r="D19" s="38">
        <v>111</v>
      </c>
      <c r="E19" s="29"/>
      <c r="F19" s="29"/>
      <c r="G19" s="29"/>
      <c r="H19" s="29"/>
    </row>
    <row r="20" spans="2:8" x14ac:dyDescent="0.3">
      <c r="B20" s="29"/>
      <c r="C20" s="39" t="s">
        <v>456</v>
      </c>
      <c r="D20" s="36">
        <v>200</v>
      </c>
      <c r="E20" s="29"/>
      <c r="F20" s="29"/>
      <c r="G20" s="29"/>
      <c r="H20" s="29"/>
    </row>
    <row r="21" spans="2:8" x14ac:dyDescent="0.3">
      <c r="B21" s="29"/>
      <c r="C21" s="29"/>
      <c r="D21" s="29"/>
      <c r="E21" s="29"/>
      <c r="F21" s="29"/>
      <c r="G21" s="29"/>
      <c r="H21" s="29"/>
    </row>
    <row r="22" spans="2:8" x14ac:dyDescent="0.3">
      <c r="B22" s="29"/>
      <c r="C22" s="29"/>
      <c r="D22" s="29"/>
      <c r="E22" s="29"/>
      <c r="F22" s="29"/>
      <c r="G22" s="29"/>
      <c r="H22" s="29"/>
    </row>
    <row r="23" spans="2:8" x14ac:dyDescent="0.3">
      <c r="B23" s="29"/>
      <c r="C23" s="29"/>
      <c r="D23" s="29"/>
      <c r="E23" s="29"/>
      <c r="F23" s="29"/>
      <c r="G23" s="29"/>
      <c r="H23" s="29"/>
    </row>
    <row r="24" spans="2:8" x14ac:dyDescent="0.3">
      <c r="B24" s="29"/>
      <c r="C24" s="29"/>
      <c r="D24" s="29"/>
      <c r="E24" s="29"/>
      <c r="F24" s="29"/>
      <c r="G24" s="29"/>
      <c r="H24" s="2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4029-D796-42A8-A43F-BED5BE6148E8}">
  <dimension ref="A1:O45"/>
  <sheetViews>
    <sheetView topLeftCell="A4" zoomScale="69" workbookViewId="0">
      <selection activeCell="AG15" sqref="AG15"/>
    </sheetView>
  </sheetViews>
  <sheetFormatPr defaultRowHeight="14.4" x14ac:dyDescent="0.3"/>
  <cols>
    <col min="1" max="1" width="17.77734375" customWidth="1"/>
    <col min="2" max="2" width="14.5546875" customWidth="1"/>
    <col min="3" max="3" width="14.6640625" customWidth="1"/>
    <col min="4" max="4" width="17.6640625" customWidth="1"/>
    <col min="5" max="5" width="14" customWidth="1"/>
    <col min="6" max="6" width="20.33203125" customWidth="1"/>
  </cols>
  <sheetData>
    <row r="1" spans="1:15" x14ac:dyDescent="0.3">
      <c r="A1" s="29"/>
      <c r="B1" s="29"/>
      <c r="C1" s="29"/>
      <c r="D1" s="29"/>
      <c r="E1" s="29"/>
      <c r="F1" s="29"/>
      <c r="G1" s="29"/>
      <c r="H1" s="29"/>
      <c r="I1" s="29"/>
      <c r="J1" s="29"/>
      <c r="K1" s="29"/>
      <c r="L1" s="29"/>
      <c r="M1" s="29"/>
      <c r="N1" s="29"/>
      <c r="O1" s="29"/>
    </row>
    <row r="2" spans="1:15" x14ac:dyDescent="0.3">
      <c r="A2" s="29"/>
      <c r="B2" s="30"/>
      <c r="C2" s="30"/>
      <c r="D2" s="30"/>
      <c r="E2" s="30"/>
      <c r="F2" s="30"/>
      <c r="G2" s="29"/>
      <c r="H2" s="29"/>
      <c r="I2" s="29"/>
      <c r="J2" s="29"/>
      <c r="K2" s="29"/>
      <c r="L2" s="29"/>
      <c r="M2" s="29"/>
      <c r="N2" s="29"/>
      <c r="O2" s="29"/>
    </row>
    <row r="3" spans="1:15" x14ac:dyDescent="0.3">
      <c r="A3" s="29"/>
      <c r="B3" s="31"/>
      <c r="C3" s="32"/>
      <c r="D3" s="33"/>
      <c r="E3" s="34"/>
      <c r="F3" s="34"/>
      <c r="G3" s="29"/>
      <c r="H3" s="29"/>
      <c r="I3" s="29"/>
      <c r="J3" s="29"/>
      <c r="K3" s="29"/>
      <c r="L3" s="29"/>
      <c r="M3" s="29"/>
      <c r="N3" s="29"/>
      <c r="O3" s="29"/>
    </row>
    <row r="4" spans="1:15" x14ac:dyDescent="0.3">
      <c r="A4" s="29"/>
      <c r="B4" s="30"/>
      <c r="C4" s="29"/>
      <c r="D4" s="29"/>
      <c r="E4" s="29"/>
      <c r="F4" s="29"/>
      <c r="G4" s="29"/>
      <c r="H4" s="29"/>
      <c r="I4" s="29"/>
      <c r="J4" s="29"/>
      <c r="K4" s="29"/>
      <c r="L4" s="29"/>
      <c r="M4" s="29"/>
      <c r="N4" s="29"/>
      <c r="O4" s="29"/>
    </row>
    <row r="5" spans="1:15" x14ac:dyDescent="0.3">
      <c r="A5" s="29"/>
      <c r="B5" s="30"/>
      <c r="C5" s="29"/>
      <c r="D5" s="29"/>
      <c r="E5" s="29"/>
      <c r="F5" s="29"/>
      <c r="G5" s="29"/>
      <c r="H5" s="29"/>
      <c r="I5" s="29"/>
      <c r="J5" s="29"/>
      <c r="K5" s="29"/>
      <c r="L5" s="29"/>
      <c r="M5" s="29"/>
      <c r="N5" s="29"/>
      <c r="O5" s="29"/>
    </row>
    <row r="6" spans="1:15" ht="21" x14ac:dyDescent="0.4">
      <c r="A6" s="29"/>
      <c r="B6" s="30"/>
      <c r="C6" s="29"/>
      <c r="D6" s="29"/>
      <c r="E6" s="35"/>
      <c r="F6" s="29"/>
      <c r="G6" s="29"/>
      <c r="H6" s="29"/>
      <c r="I6" s="29"/>
      <c r="J6" s="29"/>
      <c r="K6" s="29"/>
      <c r="L6" s="29"/>
      <c r="M6" s="29"/>
      <c r="N6" s="29"/>
      <c r="O6" s="29"/>
    </row>
    <row r="7" spans="1:15" x14ac:dyDescent="0.3">
      <c r="A7" s="29"/>
      <c r="B7" s="29"/>
      <c r="C7" s="29"/>
      <c r="D7" s="29"/>
      <c r="E7" s="29"/>
      <c r="F7" s="29"/>
      <c r="G7" s="29"/>
      <c r="H7" s="29"/>
      <c r="I7" s="29"/>
      <c r="J7" s="29"/>
      <c r="K7" s="29"/>
      <c r="L7" s="29"/>
      <c r="M7" s="29"/>
      <c r="N7" s="29"/>
      <c r="O7" s="29"/>
    </row>
    <row r="8" spans="1:15" x14ac:dyDescent="0.3">
      <c r="A8" s="29"/>
      <c r="B8" s="29"/>
      <c r="C8" s="29"/>
      <c r="D8" s="29"/>
      <c r="E8" s="29"/>
      <c r="F8" s="29"/>
      <c r="G8" s="29"/>
      <c r="H8" s="29"/>
      <c r="I8" s="29"/>
      <c r="J8" s="29"/>
      <c r="K8" s="29"/>
      <c r="L8" s="29"/>
      <c r="M8" s="29"/>
      <c r="N8" s="29"/>
      <c r="O8" s="29"/>
    </row>
    <row r="9" spans="1:15" x14ac:dyDescent="0.3">
      <c r="A9" s="29"/>
      <c r="B9" s="29"/>
      <c r="C9" s="29"/>
      <c r="D9" s="29"/>
      <c r="E9" s="29"/>
      <c r="F9" s="29"/>
      <c r="G9" s="29"/>
      <c r="H9" s="29"/>
      <c r="I9" s="29"/>
      <c r="J9" s="29"/>
      <c r="K9" s="29"/>
      <c r="L9" s="29"/>
      <c r="M9" s="29"/>
      <c r="N9" s="29"/>
      <c r="O9" s="29"/>
    </row>
    <row r="10" spans="1:15" x14ac:dyDescent="0.3">
      <c r="A10" s="29"/>
      <c r="B10" s="29"/>
      <c r="C10" s="29"/>
      <c r="D10" s="29"/>
      <c r="E10" s="29"/>
      <c r="F10" s="29"/>
      <c r="G10" s="29"/>
      <c r="H10" s="29"/>
      <c r="I10" s="29"/>
      <c r="J10" s="29"/>
      <c r="K10" s="29"/>
      <c r="L10" s="29"/>
      <c r="M10" s="29"/>
      <c r="N10" s="29"/>
      <c r="O10" s="29"/>
    </row>
    <row r="11" spans="1:15" x14ac:dyDescent="0.3">
      <c r="A11" s="29"/>
      <c r="B11" s="29"/>
      <c r="C11" s="29"/>
      <c r="D11" s="29"/>
      <c r="E11" s="29"/>
      <c r="F11" s="29"/>
      <c r="G11" s="29"/>
      <c r="H11" s="29"/>
      <c r="I11" s="29"/>
      <c r="J11" s="29"/>
      <c r="K11" s="29"/>
      <c r="L11" s="29"/>
      <c r="M11" s="29"/>
      <c r="N11" s="29"/>
      <c r="O11" s="29"/>
    </row>
    <row r="12" spans="1:15" x14ac:dyDescent="0.3">
      <c r="A12" s="29"/>
      <c r="B12" s="29"/>
      <c r="C12" s="29"/>
      <c r="D12" s="29"/>
      <c r="E12" s="29"/>
      <c r="F12" s="29"/>
      <c r="G12" s="29"/>
      <c r="H12" s="29"/>
      <c r="I12" s="29"/>
      <c r="J12" s="29"/>
      <c r="K12" s="29"/>
      <c r="L12" s="29"/>
      <c r="M12" s="29"/>
      <c r="N12" s="29"/>
      <c r="O12" s="29"/>
    </row>
    <row r="13" spans="1:15" x14ac:dyDescent="0.3">
      <c r="A13" s="29"/>
      <c r="B13" s="29"/>
      <c r="C13" s="29"/>
      <c r="D13" s="29"/>
      <c r="E13" s="29"/>
      <c r="F13" s="29"/>
      <c r="G13" s="29"/>
      <c r="H13" s="29"/>
      <c r="I13" s="29"/>
      <c r="J13" s="29"/>
      <c r="K13" s="29"/>
      <c r="L13" s="29"/>
      <c r="M13" s="29"/>
      <c r="N13" s="29"/>
      <c r="O13" s="29"/>
    </row>
    <row r="14" spans="1:15" x14ac:dyDescent="0.3">
      <c r="A14" s="29"/>
      <c r="B14" s="29"/>
      <c r="C14" s="29"/>
      <c r="D14" s="29"/>
      <c r="E14" s="29"/>
      <c r="F14" s="29"/>
      <c r="G14" s="29"/>
      <c r="H14" s="29"/>
      <c r="I14" s="29"/>
      <c r="J14" s="29"/>
      <c r="K14" s="29"/>
      <c r="L14" s="29"/>
      <c r="M14" s="29"/>
      <c r="N14" s="29"/>
      <c r="O14" s="29"/>
    </row>
    <row r="15" spans="1:15" x14ac:dyDescent="0.3">
      <c r="A15" s="29"/>
      <c r="B15" s="29"/>
      <c r="C15" s="29"/>
      <c r="D15" s="29"/>
      <c r="E15" s="29"/>
      <c r="F15" s="29"/>
      <c r="G15" s="29"/>
      <c r="H15" s="29"/>
      <c r="I15" s="29"/>
      <c r="J15" s="29"/>
      <c r="K15" s="29"/>
      <c r="L15" s="29"/>
      <c r="M15" s="29"/>
      <c r="N15" s="29"/>
      <c r="O15" s="29"/>
    </row>
    <row r="16" spans="1:15" x14ac:dyDescent="0.3">
      <c r="A16" s="29"/>
      <c r="B16" s="29"/>
      <c r="C16" s="29"/>
      <c r="D16" s="29"/>
      <c r="E16" s="29"/>
      <c r="F16" s="29"/>
      <c r="G16" s="29"/>
      <c r="H16" s="29"/>
      <c r="I16" s="29"/>
      <c r="J16" s="29"/>
      <c r="K16" s="29"/>
      <c r="L16" s="29"/>
      <c r="M16" s="29"/>
      <c r="N16" s="29"/>
      <c r="O16" s="29"/>
    </row>
    <row r="17" spans="1:15" x14ac:dyDescent="0.3">
      <c r="A17" s="29"/>
      <c r="B17" s="29"/>
      <c r="C17" s="29"/>
      <c r="D17" s="29"/>
      <c r="E17" s="29"/>
      <c r="F17" s="29"/>
      <c r="G17" s="29"/>
      <c r="H17" s="29"/>
      <c r="I17" s="29"/>
      <c r="J17" s="29"/>
      <c r="K17" s="29"/>
      <c r="L17" s="29"/>
      <c r="M17" s="30"/>
      <c r="N17" s="29"/>
      <c r="O17" s="29"/>
    </row>
    <row r="18" spans="1:15" x14ac:dyDescent="0.3">
      <c r="A18" s="29"/>
      <c r="B18" s="29"/>
      <c r="C18" s="29"/>
      <c r="D18" s="29"/>
      <c r="E18" s="29"/>
      <c r="F18" s="29"/>
      <c r="G18" s="29"/>
      <c r="H18" s="29"/>
      <c r="I18" s="29"/>
      <c r="J18" s="29"/>
      <c r="K18" s="29"/>
      <c r="L18" s="29"/>
      <c r="M18" s="29"/>
      <c r="N18" s="29"/>
      <c r="O18" s="29"/>
    </row>
    <row r="19" spans="1:15" x14ac:dyDescent="0.3">
      <c r="A19" s="29"/>
      <c r="B19" s="29"/>
      <c r="C19" s="29"/>
      <c r="D19" s="29"/>
      <c r="E19" s="29"/>
      <c r="F19" s="29"/>
      <c r="G19" s="29"/>
      <c r="H19" s="29"/>
      <c r="I19" s="29"/>
      <c r="J19" s="29"/>
      <c r="K19" s="29"/>
      <c r="L19" s="29"/>
      <c r="M19" s="29"/>
      <c r="N19" s="29"/>
      <c r="O19" s="29"/>
    </row>
    <row r="20" spans="1:15" x14ac:dyDescent="0.3">
      <c r="A20" s="29"/>
      <c r="B20" s="29"/>
      <c r="C20" s="29"/>
      <c r="D20" s="29"/>
      <c r="E20" s="29"/>
      <c r="F20" s="29"/>
      <c r="G20" s="29"/>
      <c r="H20" s="29"/>
      <c r="I20" s="29"/>
      <c r="J20" s="29"/>
      <c r="K20" s="29"/>
      <c r="L20" s="29"/>
      <c r="M20" s="29"/>
      <c r="N20" s="29"/>
      <c r="O20" s="29"/>
    </row>
    <row r="21" spans="1:15" x14ac:dyDescent="0.3">
      <c r="A21" s="29"/>
      <c r="B21" s="29"/>
      <c r="C21" s="29"/>
      <c r="D21" s="29"/>
      <c r="E21" s="29"/>
      <c r="F21" s="29"/>
      <c r="G21" s="29"/>
      <c r="H21" s="29"/>
      <c r="I21" s="29"/>
      <c r="J21" s="29"/>
      <c r="K21" s="29"/>
      <c r="L21" s="29"/>
      <c r="M21" s="29"/>
      <c r="N21" s="29"/>
      <c r="O21" s="29"/>
    </row>
    <row r="22" spans="1:15" x14ac:dyDescent="0.3">
      <c r="A22" s="29"/>
      <c r="B22" s="29"/>
      <c r="C22" s="29"/>
      <c r="D22" s="29"/>
      <c r="E22" s="29"/>
      <c r="F22" s="29"/>
      <c r="G22" s="29"/>
      <c r="H22" s="29"/>
      <c r="I22" s="29"/>
      <c r="J22" s="29"/>
      <c r="K22" s="29"/>
      <c r="L22" s="29"/>
      <c r="M22" s="29"/>
      <c r="N22" s="29"/>
      <c r="O22" s="29"/>
    </row>
    <row r="23" spans="1:15" x14ac:dyDescent="0.3">
      <c r="A23" s="29"/>
      <c r="B23" s="29"/>
      <c r="C23" s="29"/>
      <c r="D23" s="29"/>
      <c r="E23" s="29"/>
      <c r="F23" s="29"/>
      <c r="G23" s="29"/>
      <c r="H23" s="29"/>
      <c r="I23" s="29" t="e" vm="1">
        <v>#VALUE!</v>
      </c>
      <c r="J23" s="29"/>
      <c r="K23" s="29"/>
      <c r="L23" s="29"/>
      <c r="M23" s="29"/>
      <c r="N23" s="29"/>
      <c r="O23" s="29"/>
    </row>
    <row r="24" spans="1:15" x14ac:dyDescent="0.3">
      <c r="A24" s="29"/>
      <c r="B24" s="29"/>
      <c r="C24" s="29"/>
      <c r="D24" s="29"/>
      <c r="E24" s="29"/>
      <c r="F24" s="29"/>
      <c r="G24" s="29"/>
      <c r="H24" s="29"/>
      <c r="I24" s="29"/>
      <c r="J24" s="29"/>
      <c r="K24" s="29"/>
      <c r="L24" s="29"/>
      <c r="M24" s="29"/>
      <c r="N24" s="29"/>
      <c r="O24" s="29"/>
    </row>
    <row r="25" spans="1:15" x14ac:dyDescent="0.3">
      <c r="A25" s="29"/>
      <c r="B25" s="29"/>
      <c r="C25" s="29"/>
      <c r="D25" s="29"/>
      <c r="E25" s="29"/>
      <c r="F25" s="29"/>
      <c r="G25" s="29"/>
      <c r="H25" s="29"/>
      <c r="I25" s="29"/>
      <c r="J25" s="29"/>
      <c r="K25" s="29"/>
      <c r="L25" s="29"/>
      <c r="M25" s="29"/>
      <c r="N25" s="29"/>
      <c r="O25" s="29"/>
    </row>
    <row r="26" spans="1:15" x14ac:dyDescent="0.3">
      <c r="A26" s="29"/>
      <c r="B26" s="29"/>
      <c r="C26" s="29"/>
      <c r="D26" s="29"/>
      <c r="E26" s="29"/>
      <c r="F26" s="29"/>
      <c r="G26" s="29"/>
      <c r="H26" s="29"/>
      <c r="I26" s="29"/>
      <c r="J26" s="29"/>
      <c r="K26" s="29"/>
      <c r="L26" s="29"/>
      <c r="M26" s="29"/>
      <c r="N26" s="29"/>
      <c r="O26" s="29"/>
    </row>
    <row r="27" spans="1:15" x14ac:dyDescent="0.3">
      <c r="A27" s="29"/>
      <c r="B27" s="29"/>
      <c r="C27" s="29"/>
      <c r="D27" s="29"/>
      <c r="E27" s="29"/>
      <c r="F27" s="29"/>
      <c r="G27" s="29"/>
      <c r="H27" s="29"/>
      <c r="I27" s="29"/>
      <c r="J27" s="29"/>
      <c r="K27" s="29"/>
      <c r="L27" s="29"/>
      <c r="M27" s="29"/>
      <c r="N27" s="29"/>
      <c r="O27" s="29"/>
    </row>
    <row r="28" spans="1:15" x14ac:dyDescent="0.3">
      <c r="A28" s="29"/>
      <c r="B28" s="29"/>
      <c r="C28" s="29"/>
      <c r="D28" s="29"/>
      <c r="E28" s="29"/>
      <c r="F28" s="29"/>
      <c r="G28" s="29"/>
      <c r="H28" s="29"/>
      <c r="I28" s="29"/>
      <c r="J28" s="29"/>
      <c r="K28" s="29"/>
      <c r="L28" s="29"/>
      <c r="M28" s="29"/>
      <c r="N28" s="29"/>
      <c r="O28" s="29"/>
    </row>
    <row r="29" spans="1:15" x14ac:dyDescent="0.3">
      <c r="A29" s="29"/>
      <c r="B29" s="29"/>
      <c r="C29" s="29"/>
      <c r="D29" s="29"/>
      <c r="E29" s="29"/>
      <c r="F29" s="29"/>
      <c r="G29" s="29"/>
      <c r="H29" s="29"/>
      <c r="I29" s="29"/>
      <c r="J29" s="29"/>
      <c r="K29" s="29"/>
      <c r="L29" s="29"/>
      <c r="M29" s="29"/>
      <c r="N29" s="29"/>
      <c r="O29" s="29"/>
    </row>
    <row r="30" spans="1:15" x14ac:dyDescent="0.3">
      <c r="A30" s="29"/>
      <c r="B30" s="29"/>
      <c r="C30" s="29"/>
      <c r="D30" s="29"/>
      <c r="E30" s="29"/>
      <c r="F30" s="29"/>
      <c r="G30" s="29"/>
      <c r="H30" s="29"/>
      <c r="I30" s="29"/>
      <c r="J30" s="29"/>
      <c r="K30" s="29"/>
      <c r="L30" s="29"/>
      <c r="M30" s="29"/>
      <c r="N30" s="29"/>
      <c r="O30" s="29"/>
    </row>
    <row r="31" spans="1:15" x14ac:dyDescent="0.3">
      <c r="A31" s="29"/>
      <c r="B31" s="29"/>
      <c r="C31" s="29"/>
      <c r="D31" s="29"/>
      <c r="E31" s="29"/>
      <c r="F31" s="29"/>
      <c r="G31" s="29"/>
      <c r="H31" s="29"/>
      <c r="I31" s="29"/>
      <c r="J31" s="29"/>
      <c r="K31" s="29"/>
      <c r="L31" s="29"/>
      <c r="M31" s="29"/>
      <c r="N31" s="29"/>
      <c r="O31" s="29"/>
    </row>
    <row r="32" spans="1:15" x14ac:dyDescent="0.3">
      <c r="A32" s="29"/>
      <c r="B32" s="29"/>
      <c r="C32" s="29"/>
      <c r="D32" s="29"/>
      <c r="E32" s="29"/>
      <c r="F32" s="29"/>
      <c r="G32" s="29"/>
      <c r="H32" s="29"/>
      <c r="I32" s="29"/>
      <c r="J32" s="29"/>
      <c r="K32" s="29"/>
      <c r="L32" s="29"/>
      <c r="M32" s="29"/>
      <c r="N32" s="29"/>
      <c r="O32" s="29"/>
    </row>
    <row r="33" spans="1:15" x14ac:dyDescent="0.3">
      <c r="A33" s="29"/>
      <c r="B33" s="29"/>
      <c r="C33" s="29"/>
      <c r="D33" s="29"/>
      <c r="E33" s="29"/>
      <c r="F33" s="29"/>
      <c r="G33" s="29"/>
      <c r="H33" s="29"/>
      <c r="I33" s="29"/>
      <c r="J33" s="29"/>
      <c r="K33" s="29"/>
      <c r="L33" s="29"/>
      <c r="M33" s="29"/>
      <c r="N33" s="29"/>
      <c r="O33" s="29"/>
    </row>
    <row r="34" spans="1:15" x14ac:dyDescent="0.3">
      <c r="A34" s="29"/>
      <c r="B34" s="29"/>
      <c r="C34" s="29"/>
      <c r="D34" s="29"/>
      <c r="E34" s="29"/>
      <c r="F34" s="29"/>
      <c r="G34" s="29"/>
      <c r="H34" s="29"/>
      <c r="I34" s="29"/>
      <c r="J34" s="29"/>
      <c r="K34" s="29"/>
      <c r="L34" s="29"/>
      <c r="M34" s="29"/>
      <c r="N34" s="29"/>
      <c r="O34" s="29"/>
    </row>
    <row r="35" spans="1:15" x14ac:dyDescent="0.3">
      <c r="A35" s="29"/>
      <c r="B35" s="29"/>
      <c r="C35" s="29"/>
      <c r="D35" s="29"/>
      <c r="E35" s="29"/>
      <c r="F35" s="29"/>
      <c r="G35" s="29"/>
      <c r="H35" s="29"/>
      <c r="I35" s="29"/>
      <c r="J35" s="29"/>
      <c r="K35" s="29"/>
      <c r="L35" s="29"/>
      <c r="M35" s="29"/>
      <c r="N35" s="29"/>
      <c r="O35" s="29"/>
    </row>
    <row r="36" spans="1:15" x14ac:dyDescent="0.3">
      <c r="A36" s="29"/>
      <c r="B36" s="29"/>
      <c r="C36" s="29"/>
      <c r="D36" s="29"/>
      <c r="E36" s="29"/>
      <c r="F36" s="29"/>
      <c r="G36" s="29"/>
      <c r="H36" s="29"/>
      <c r="I36" s="29"/>
      <c r="J36" s="29"/>
      <c r="K36" s="29"/>
      <c r="L36" s="29"/>
      <c r="M36" s="29"/>
      <c r="N36" s="29"/>
      <c r="O36" s="29"/>
    </row>
    <row r="37" spans="1:15" x14ac:dyDescent="0.3">
      <c r="A37" s="29"/>
      <c r="B37" s="29"/>
      <c r="C37" s="29"/>
      <c r="D37" s="29"/>
      <c r="E37" s="29"/>
      <c r="F37" s="29"/>
      <c r="G37" s="29"/>
      <c r="H37" s="29"/>
      <c r="I37" s="29"/>
      <c r="J37" s="29"/>
      <c r="K37" s="29"/>
      <c r="L37" s="29"/>
      <c r="M37" s="29"/>
      <c r="N37" s="29"/>
      <c r="O37" s="29"/>
    </row>
    <row r="38" spans="1:15" x14ac:dyDescent="0.3">
      <c r="A38" s="29"/>
      <c r="B38" s="29"/>
      <c r="C38" s="29"/>
      <c r="D38" s="29"/>
      <c r="E38" s="29"/>
      <c r="F38" s="29"/>
      <c r="G38" s="29"/>
      <c r="H38" s="29"/>
      <c r="I38" s="29"/>
      <c r="J38" s="29"/>
      <c r="K38" s="29"/>
      <c r="L38" s="29"/>
      <c r="M38" s="29"/>
      <c r="N38" s="29"/>
      <c r="O38" s="29"/>
    </row>
    <row r="39" spans="1:15" x14ac:dyDescent="0.3">
      <c r="A39" s="29"/>
      <c r="B39" s="29"/>
      <c r="C39" s="29"/>
      <c r="D39" s="29"/>
      <c r="E39" s="29"/>
      <c r="F39" s="29"/>
      <c r="G39" s="29"/>
      <c r="H39" s="29"/>
      <c r="I39" s="29"/>
      <c r="J39" s="29"/>
      <c r="K39" s="29"/>
      <c r="L39" s="29"/>
      <c r="M39" s="29"/>
      <c r="N39" s="29"/>
      <c r="O39" s="29"/>
    </row>
    <row r="40" spans="1:15" x14ac:dyDescent="0.3">
      <c r="A40" s="29"/>
      <c r="B40" s="29"/>
      <c r="C40" s="29"/>
      <c r="D40" s="29"/>
      <c r="E40" s="29"/>
      <c r="F40" s="29"/>
      <c r="G40" s="29"/>
      <c r="H40" s="29"/>
      <c r="I40" s="29"/>
      <c r="J40" s="29"/>
      <c r="K40" s="29"/>
      <c r="L40" s="29"/>
      <c r="M40" s="29"/>
      <c r="N40" s="29"/>
      <c r="O40" s="29"/>
    </row>
    <row r="41" spans="1:15" x14ac:dyDescent="0.3">
      <c r="A41" s="29"/>
      <c r="B41" s="29"/>
      <c r="C41" s="29"/>
      <c r="D41" s="29"/>
      <c r="E41" s="29"/>
      <c r="F41" s="29"/>
      <c r="G41" s="29"/>
      <c r="H41" s="29"/>
      <c r="I41" s="29"/>
      <c r="J41" s="29"/>
      <c r="K41" s="29"/>
      <c r="L41" s="29"/>
      <c r="M41" s="29"/>
      <c r="N41" s="29"/>
      <c r="O41" s="29"/>
    </row>
    <row r="42" spans="1:15" x14ac:dyDescent="0.3">
      <c r="A42" s="29"/>
      <c r="B42" s="29"/>
      <c r="C42" s="29"/>
      <c r="D42" s="29"/>
      <c r="E42" s="29"/>
      <c r="F42" s="29"/>
      <c r="G42" s="29"/>
      <c r="H42" s="29"/>
      <c r="I42" s="29"/>
      <c r="J42" s="29"/>
      <c r="K42" s="29"/>
      <c r="L42" s="29"/>
      <c r="M42" s="29"/>
      <c r="N42" s="29"/>
      <c r="O42" s="29"/>
    </row>
    <row r="43" spans="1:15" x14ac:dyDescent="0.3">
      <c r="A43" s="29"/>
      <c r="B43" s="29"/>
      <c r="C43" s="29"/>
      <c r="D43" s="29"/>
      <c r="E43" s="29"/>
      <c r="F43" s="29"/>
      <c r="G43" s="29"/>
      <c r="H43" s="29"/>
      <c r="I43" s="29"/>
      <c r="J43" s="29"/>
      <c r="K43" s="29"/>
      <c r="L43" s="29"/>
      <c r="M43" s="29"/>
      <c r="N43" s="29"/>
      <c r="O43" s="29"/>
    </row>
    <row r="44" spans="1:15" x14ac:dyDescent="0.3">
      <c r="A44" s="29"/>
      <c r="B44" s="29"/>
      <c r="C44" s="29"/>
      <c r="D44" s="29"/>
      <c r="E44" s="29"/>
      <c r="F44" s="29"/>
      <c r="G44" s="29"/>
      <c r="H44" s="29"/>
      <c r="I44" s="29"/>
      <c r="J44" s="29"/>
      <c r="K44" s="29"/>
      <c r="L44" s="29"/>
      <c r="M44" s="29"/>
      <c r="N44" s="29"/>
      <c r="O44" s="29"/>
    </row>
    <row r="45" spans="1:15" x14ac:dyDescent="0.3">
      <c r="A45" s="29"/>
      <c r="B45" s="29"/>
      <c r="C45" s="29"/>
      <c r="D45" s="29"/>
      <c r="E45" s="29"/>
      <c r="F45" s="29"/>
      <c r="G45" s="29"/>
      <c r="H45" s="29"/>
      <c r="I45" s="29"/>
      <c r="J45" s="29"/>
      <c r="K45" s="29"/>
      <c r="L45" s="29"/>
      <c r="M45" s="29"/>
      <c r="N45" s="29"/>
      <c r="O45"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0104-4029-4B5E-AA1D-6749744954D9}">
  <dimension ref="A5:F13"/>
  <sheetViews>
    <sheetView tabSelected="1" zoomScale="118" workbookViewId="0">
      <selection activeCell="B7" sqref="B7"/>
    </sheetView>
  </sheetViews>
  <sheetFormatPr defaultRowHeight="14.4" x14ac:dyDescent="0.3"/>
  <cols>
    <col min="1" max="1" width="12.88671875" customWidth="1"/>
    <col min="2" max="2" width="11" customWidth="1"/>
    <col min="3" max="3" width="0.109375" hidden="1" customWidth="1"/>
    <col min="4" max="4" width="45.6640625" customWidth="1"/>
    <col min="5" max="5" width="6.33203125" customWidth="1"/>
    <col min="6" max="6" width="49.6640625" customWidth="1"/>
  </cols>
  <sheetData>
    <row r="5" spans="1:6" x14ac:dyDescent="0.3">
      <c r="A5" s="45"/>
      <c r="B5" s="49"/>
      <c r="C5" s="44"/>
      <c r="D5" s="60" t="s">
        <v>479</v>
      </c>
      <c r="F5" s="40" t="s">
        <v>471</v>
      </c>
    </row>
    <row r="6" spans="1:6" s="26" customFormat="1" ht="46.8" customHeight="1" x14ac:dyDescent="0.3">
      <c r="A6" s="46"/>
      <c r="B6" s="48"/>
      <c r="C6" s="41"/>
      <c r="D6" s="55" t="s">
        <v>480</v>
      </c>
      <c r="E6" s="56"/>
      <c r="F6" s="55" t="s">
        <v>472</v>
      </c>
    </row>
    <row r="7" spans="1:6" ht="51.6" customHeight="1" x14ac:dyDescent="0.3">
      <c r="A7" s="47"/>
      <c r="B7" s="50"/>
      <c r="C7" s="29"/>
      <c r="D7" s="55" t="s">
        <v>481</v>
      </c>
      <c r="E7" s="18"/>
      <c r="F7" s="55" t="s">
        <v>473</v>
      </c>
    </row>
    <row r="8" spans="1:6" ht="41.4" customHeight="1" x14ac:dyDescent="0.3">
      <c r="B8" s="52"/>
      <c r="C8" s="29"/>
      <c r="D8" s="55" t="s">
        <v>482</v>
      </c>
      <c r="E8" s="18"/>
      <c r="F8" s="55" t="s">
        <v>474</v>
      </c>
    </row>
    <row r="9" spans="1:6" ht="54" customHeight="1" x14ac:dyDescent="0.3">
      <c r="A9" s="51"/>
      <c r="B9" s="52"/>
      <c r="C9" s="29"/>
      <c r="D9" s="55" t="s">
        <v>476</v>
      </c>
      <c r="E9" s="18"/>
      <c r="F9" s="55" t="s">
        <v>475</v>
      </c>
    </row>
    <row r="10" spans="1:6" ht="37.200000000000003" customHeight="1" x14ac:dyDescent="0.3">
      <c r="B10" s="52"/>
      <c r="C10" s="29"/>
      <c r="D10" s="55" t="s">
        <v>477</v>
      </c>
      <c r="E10" s="18"/>
      <c r="F10" s="57"/>
    </row>
    <row r="11" spans="1:6" ht="43.2" x14ac:dyDescent="0.3">
      <c r="B11" s="53"/>
      <c r="C11" s="29"/>
      <c r="D11" s="58" t="s">
        <v>478</v>
      </c>
      <c r="E11" s="18"/>
      <c r="F11" s="59"/>
    </row>
    <row r="12" spans="1:6" ht="15" thickBot="1" x14ac:dyDescent="0.35">
      <c r="B12" s="54"/>
      <c r="C12" s="42"/>
      <c r="D12" s="43"/>
    </row>
    <row r="13" spans="1:6" x14ac:dyDescent="0.3">
      <c r="E13" s="2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Audit Report</vt:lpstr>
      <vt:lpstr>Formula Assessment</vt:lpstr>
      <vt:lpstr>Analysis Answers </vt:lpstr>
      <vt:lpstr>Pivot 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arpitaa patil</cp:lastModifiedBy>
  <cp:lastPrinted>2026-06-09T13:20:26Z</cp:lastPrinted>
  <dcterms:created xsi:type="dcterms:W3CDTF">2026-06-04T08:04:13Z</dcterms:created>
  <dcterms:modified xsi:type="dcterms:W3CDTF">2026-06-09T14:53:18Z</dcterms:modified>
</cp:coreProperties>
</file>